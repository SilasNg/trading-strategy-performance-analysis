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My Stuff\Self Study\Personal Project\Trading\"/>
    </mc:Choice>
  </mc:AlternateContent>
  <xr:revisionPtr revIDLastSave="0" documentId="13_ncr:1_{D82567A6-692F-4BCF-BEA3-2411B5D24D6F}" xr6:coauthVersionLast="47" xr6:coauthVersionMax="47" xr10:uidLastSave="{00000000-0000-0000-0000-000000000000}"/>
  <bookViews>
    <workbookView xWindow="14295" yWindow="0" windowWidth="14610" windowHeight="15585" firstSheet="3" activeTab="3" xr2:uid="{00000000-000D-0000-FFFF-FFFF00000000}"/>
  </bookViews>
  <sheets>
    <sheet name="Dataset" sheetId="2" r:id="rId1"/>
    <sheet name="Performance Analysis" sheetId="1" r:id="rId2"/>
    <sheet name="Exploratory Data Analysis" sheetId="4" r:id="rId3"/>
    <sheet name="Insights &amp; Recommendations" sheetId="5" r:id="rId4"/>
  </sheets>
  <definedNames>
    <definedName name="ExternalData_1" localSheetId="0" hidden="1">Dataset!$A$1:$O$169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4" l="1"/>
  <c r="H51" i="4"/>
  <c r="H50" i="4"/>
  <c r="H49" i="4"/>
  <c r="H48" i="4"/>
  <c r="H47" i="4"/>
  <c r="H46" i="4"/>
  <c r="H45" i="4"/>
  <c r="H44" i="4"/>
  <c r="H43" i="4"/>
  <c r="H42" i="4"/>
  <c r="H41" i="4"/>
  <c r="H40" i="4"/>
  <c r="G51" i="4"/>
  <c r="G50" i="4"/>
  <c r="G49" i="4"/>
  <c r="G48" i="4"/>
  <c r="G47" i="4"/>
  <c r="G46" i="4"/>
  <c r="G45" i="4"/>
  <c r="G44" i="4"/>
  <c r="G43" i="4"/>
  <c r="G42" i="4"/>
  <c r="G41" i="4"/>
  <c r="G40" i="4"/>
  <c r="F51" i="4"/>
  <c r="F50" i="4"/>
  <c r="F49" i="4"/>
  <c r="F48" i="4"/>
  <c r="F47" i="4"/>
  <c r="F46" i="4"/>
  <c r="F45" i="4"/>
  <c r="F44" i="4"/>
  <c r="F43" i="4"/>
  <c r="F42" i="4"/>
  <c r="F41" i="4"/>
  <c r="F40" i="4"/>
  <c r="E47" i="4"/>
  <c r="E51" i="4"/>
  <c r="E50" i="4"/>
  <c r="E49" i="4"/>
  <c r="E48" i="4"/>
  <c r="E46" i="4"/>
  <c r="E45" i="4"/>
  <c r="E44" i="4"/>
  <c r="E43" i="4"/>
  <c r="E42" i="4"/>
  <c r="E41" i="4"/>
  <c r="D44" i="4"/>
  <c r="I44" i="4" s="1"/>
  <c r="C51" i="4"/>
  <c r="C50" i="4"/>
  <c r="C49" i="4"/>
  <c r="D49" i="4" s="1"/>
  <c r="I49" i="4" s="1"/>
  <c r="C48" i="4"/>
  <c r="C47" i="4"/>
  <c r="C46" i="4"/>
  <c r="C45" i="4"/>
  <c r="C44" i="4"/>
  <c r="C43" i="4"/>
  <c r="C42" i="4"/>
  <c r="C41" i="4"/>
  <c r="C40" i="4"/>
  <c r="B51" i="4"/>
  <c r="B50" i="4"/>
  <c r="B49" i="4"/>
  <c r="B48" i="4"/>
  <c r="B47" i="4"/>
  <c r="B46" i="4"/>
  <c r="B45" i="4"/>
  <c r="B44" i="4"/>
  <c r="B43" i="4"/>
  <c r="B42" i="4"/>
  <c r="B41" i="4"/>
  <c r="B40" i="4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H36" i="4" s="1"/>
  <c r="I19" i="4"/>
  <c r="I17" i="4"/>
  <c r="I15" i="4"/>
  <c r="I18" i="4"/>
  <c r="I16" i="4"/>
  <c r="I14" i="4"/>
  <c r="H28" i="4" a="1"/>
  <c r="H28" i="4" s="1"/>
  <c r="G28" i="4"/>
  <c r="F28" i="4"/>
  <c r="E28" i="4"/>
  <c r="C28" i="4"/>
  <c r="B28" i="4"/>
  <c r="H23" i="4" a="1"/>
  <c r="H23" i="4" s="1"/>
  <c r="H24" i="4" a="1"/>
  <c r="H24" i="4" s="1"/>
  <c r="G24" i="4"/>
  <c r="G23" i="4"/>
  <c r="F24" i="4"/>
  <c r="F23" i="4"/>
  <c r="E24" i="4"/>
  <c r="E23" i="4"/>
  <c r="C24" i="4"/>
  <c r="C23" i="4"/>
  <c r="B24" i="4"/>
  <c r="B23" i="4"/>
  <c r="G9" i="4"/>
  <c r="H5" i="4" a="1"/>
  <c r="H5" i="4" s="1"/>
  <c r="H10" i="4" a="1"/>
  <c r="H10" i="4" s="1"/>
  <c r="H9" i="4" a="1"/>
  <c r="H9" i="4" s="1"/>
  <c r="H4" i="4" a="1"/>
  <c r="H4" i="4" s="1"/>
  <c r="G10" i="4"/>
  <c r="F10" i="4"/>
  <c r="E10" i="4"/>
  <c r="C10" i="4"/>
  <c r="B10" i="4"/>
  <c r="F9" i="4"/>
  <c r="E9" i="4"/>
  <c r="C9" i="4"/>
  <c r="B9" i="4"/>
  <c r="G4" i="4"/>
  <c r="G5" i="4"/>
  <c r="F5" i="4"/>
  <c r="F4" i="4"/>
  <c r="E4" i="4"/>
  <c r="E5" i="4"/>
  <c r="C5" i="4"/>
  <c r="B4" i="4"/>
  <c r="B5" i="4"/>
  <c r="C4" i="4"/>
  <c r="P2" i="2"/>
  <c r="Q2" i="2" s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B17" i="1"/>
  <c r="B16" i="1"/>
  <c r="B13" i="1"/>
  <c r="B11" i="1"/>
  <c r="B10" i="1"/>
  <c r="B9" i="1"/>
  <c r="B8" i="1"/>
  <c r="B4" i="1"/>
  <c r="B3" i="1"/>
  <c r="B2" i="1"/>
  <c r="D42" i="4" l="1"/>
  <c r="I42" i="4" s="1"/>
  <c r="D43" i="4"/>
  <c r="I43" i="4" s="1"/>
  <c r="D45" i="4"/>
  <c r="I45" i="4" s="1"/>
  <c r="D46" i="4"/>
  <c r="I46" i="4" s="1"/>
  <c r="D47" i="4"/>
  <c r="I47" i="4" s="1"/>
  <c r="D48" i="4"/>
  <c r="I48" i="4" s="1"/>
  <c r="D50" i="4"/>
  <c r="I50" i="4" s="1"/>
  <c r="D51" i="4"/>
  <c r="I51" i="4" s="1"/>
  <c r="D40" i="4"/>
  <c r="I40" i="4" s="1"/>
  <c r="D41" i="4"/>
  <c r="I41" i="4" s="1"/>
  <c r="F35" i="4"/>
  <c r="F36" i="4"/>
  <c r="C32" i="4"/>
  <c r="C33" i="4"/>
  <c r="C34" i="4"/>
  <c r="C35" i="4"/>
  <c r="G32" i="4"/>
  <c r="B36" i="4"/>
  <c r="C36" i="4"/>
  <c r="G33" i="4"/>
  <c r="E32" i="4"/>
  <c r="G34" i="4"/>
  <c r="E33" i="4"/>
  <c r="G35" i="4"/>
  <c r="B32" i="4"/>
  <c r="E34" i="4"/>
  <c r="G36" i="4"/>
  <c r="B33" i="4"/>
  <c r="E35" i="4"/>
  <c r="H32" i="4"/>
  <c r="B34" i="4"/>
  <c r="E36" i="4"/>
  <c r="H33" i="4"/>
  <c r="B35" i="4"/>
  <c r="F32" i="4"/>
  <c r="H34" i="4"/>
  <c r="F33" i="4"/>
  <c r="H35" i="4"/>
  <c r="F34" i="4"/>
  <c r="D28" i="4"/>
  <c r="Q3" i="2"/>
  <c r="Q4" i="2" s="1"/>
  <c r="Q5" i="2" s="1"/>
  <c r="Q6" i="2" s="1"/>
  <c r="R2" i="2"/>
  <c r="B5" i="1"/>
  <c r="B12" i="1" s="1"/>
  <c r="I28" i="4"/>
  <c r="D24" i="4"/>
  <c r="I24" i="4" s="1"/>
  <c r="D23" i="4"/>
  <c r="I23" i="4" s="1"/>
  <c r="D10" i="4"/>
  <c r="I10" i="4" s="1"/>
  <c r="D5" i="4"/>
  <c r="I5" i="4" s="1"/>
  <c r="D4" i="4"/>
  <c r="I4" i="4" s="1"/>
  <c r="D9" i="4"/>
  <c r="I9" i="4" s="1"/>
  <c r="D36" i="4" l="1"/>
  <c r="I36" i="4"/>
  <c r="D35" i="4"/>
  <c r="I35" i="4" s="1"/>
  <c r="D34" i="4"/>
  <c r="I34" i="4" s="1"/>
  <c r="D33" i="4"/>
  <c r="I33" i="4" s="1"/>
  <c r="D32" i="4"/>
  <c r="I32" i="4" s="1"/>
  <c r="R5" i="2"/>
  <c r="Q7" i="2"/>
  <c r="R6" i="2"/>
  <c r="R4" i="2"/>
  <c r="R3" i="2"/>
  <c r="Q8" i="2" l="1"/>
  <c r="R7" i="2"/>
  <c r="Q9" i="2" l="1"/>
  <c r="R8" i="2"/>
  <c r="Q10" i="2" l="1"/>
  <c r="R9" i="2"/>
  <c r="Q11" i="2" l="1"/>
  <c r="R10" i="2"/>
  <c r="Q12" i="2" l="1"/>
  <c r="R11" i="2"/>
  <c r="Q13" i="2" l="1"/>
  <c r="R12" i="2"/>
  <c r="Q14" i="2" l="1"/>
  <c r="R13" i="2"/>
  <c r="Q15" i="2" l="1"/>
  <c r="R14" i="2"/>
  <c r="Q16" i="2" l="1"/>
  <c r="R15" i="2"/>
  <c r="Q17" i="2" l="1"/>
  <c r="R16" i="2"/>
  <c r="Q18" i="2" l="1"/>
  <c r="R17" i="2"/>
  <c r="Q19" i="2" l="1"/>
  <c r="R18" i="2"/>
  <c r="Q20" i="2" l="1"/>
  <c r="R19" i="2"/>
  <c r="Q21" i="2" l="1"/>
  <c r="R20" i="2"/>
  <c r="Q22" i="2" l="1"/>
  <c r="R21" i="2"/>
  <c r="Q23" i="2" l="1"/>
  <c r="R22" i="2"/>
  <c r="Q24" i="2" l="1"/>
  <c r="R23" i="2"/>
  <c r="Q25" i="2" l="1"/>
  <c r="R24" i="2"/>
  <c r="Q26" i="2" l="1"/>
  <c r="R25" i="2"/>
  <c r="Q27" i="2" l="1"/>
  <c r="R26" i="2"/>
  <c r="Q28" i="2" l="1"/>
  <c r="R27" i="2"/>
  <c r="Q29" i="2" l="1"/>
  <c r="R28" i="2"/>
  <c r="Q30" i="2" l="1"/>
  <c r="R29" i="2"/>
  <c r="Q31" i="2" l="1"/>
  <c r="R30" i="2"/>
  <c r="Q32" i="2" l="1"/>
  <c r="R31" i="2"/>
  <c r="Q33" i="2" l="1"/>
  <c r="R32" i="2"/>
  <c r="Q34" i="2" l="1"/>
  <c r="R33" i="2"/>
  <c r="Q35" i="2" l="1"/>
  <c r="R34" i="2"/>
  <c r="Q36" i="2" l="1"/>
  <c r="R35" i="2"/>
  <c r="Q37" i="2" l="1"/>
  <c r="R36" i="2"/>
  <c r="Q38" i="2" l="1"/>
  <c r="R37" i="2"/>
  <c r="Q39" i="2" l="1"/>
  <c r="R38" i="2"/>
  <c r="Q40" i="2" l="1"/>
  <c r="R39" i="2"/>
  <c r="Q41" i="2" l="1"/>
  <c r="R40" i="2"/>
  <c r="Q42" i="2" l="1"/>
  <c r="R41" i="2"/>
  <c r="Q43" i="2" l="1"/>
  <c r="R42" i="2"/>
  <c r="Q44" i="2" l="1"/>
  <c r="R43" i="2"/>
  <c r="Q45" i="2" l="1"/>
  <c r="R44" i="2"/>
  <c r="Q46" i="2" l="1"/>
  <c r="R45" i="2"/>
  <c r="Q47" i="2" l="1"/>
  <c r="R46" i="2"/>
  <c r="Q48" i="2" l="1"/>
  <c r="R47" i="2"/>
  <c r="Q49" i="2" l="1"/>
  <c r="R48" i="2"/>
  <c r="Q50" i="2" l="1"/>
  <c r="R49" i="2"/>
  <c r="Q51" i="2" l="1"/>
  <c r="R50" i="2"/>
  <c r="Q52" i="2" l="1"/>
  <c r="R51" i="2"/>
  <c r="Q53" i="2" l="1"/>
  <c r="R52" i="2"/>
  <c r="Q54" i="2" l="1"/>
  <c r="R53" i="2"/>
  <c r="Q55" i="2" l="1"/>
  <c r="R54" i="2"/>
  <c r="Q56" i="2" l="1"/>
  <c r="R55" i="2"/>
  <c r="Q57" i="2" l="1"/>
  <c r="R56" i="2"/>
  <c r="Q58" i="2" l="1"/>
  <c r="R57" i="2"/>
  <c r="Q59" i="2" l="1"/>
  <c r="R58" i="2"/>
  <c r="Q60" i="2" l="1"/>
  <c r="R59" i="2"/>
  <c r="Q61" i="2" l="1"/>
  <c r="R60" i="2"/>
  <c r="Q62" i="2" l="1"/>
  <c r="R61" i="2"/>
  <c r="Q63" i="2" l="1"/>
  <c r="R62" i="2"/>
  <c r="Q64" i="2" l="1"/>
  <c r="R63" i="2"/>
  <c r="Q65" i="2" l="1"/>
  <c r="R64" i="2"/>
  <c r="Q66" i="2" l="1"/>
  <c r="R65" i="2"/>
  <c r="Q67" i="2" l="1"/>
  <c r="R66" i="2"/>
  <c r="Q68" i="2" l="1"/>
  <c r="R67" i="2"/>
  <c r="Q69" i="2" l="1"/>
  <c r="R68" i="2"/>
  <c r="Q70" i="2" l="1"/>
  <c r="R69" i="2"/>
  <c r="Q71" i="2" l="1"/>
  <c r="R70" i="2"/>
  <c r="Q72" i="2" l="1"/>
  <c r="R71" i="2"/>
  <c r="Q73" i="2" l="1"/>
  <c r="R72" i="2"/>
  <c r="Q74" i="2" l="1"/>
  <c r="R73" i="2"/>
  <c r="Q75" i="2" l="1"/>
  <c r="R74" i="2"/>
  <c r="Q76" i="2" l="1"/>
  <c r="R75" i="2"/>
  <c r="Q77" i="2" l="1"/>
  <c r="R76" i="2"/>
  <c r="Q78" i="2" l="1"/>
  <c r="R77" i="2"/>
  <c r="Q79" i="2" l="1"/>
  <c r="R78" i="2"/>
  <c r="Q80" i="2" l="1"/>
  <c r="R79" i="2"/>
  <c r="Q81" i="2" l="1"/>
  <c r="R80" i="2"/>
  <c r="Q82" i="2" l="1"/>
  <c r="R81" i="2"/>
  <c r="Q83" i="2" l="1"/>
  <c r="R82" i="2"/>
  <c r="Q84" i="2" l="1"/>
  <c r="R83" i="2"/>
  <c r="Q85" i="2" l="1"/>
  <c r="R84" i="2"/>
  <c r="Q86" i="2" l="1"/>
  <c r="R85" i="2"/>
  <c r="Q87" i="2" l="1"/>
  <c r="R86" i="2"/>
  <c r="Q88" i="2" l="1"/>
  <c r="R87" i="2"/>
  <c r="Q89" i="2" l="1"/>
  <c r="R88" i="2"/>
  <c r="Q90" i="2" l="1"/>
  <c r="R89" i="2"/>
  <c r="Q91" i="2" l="1"/>
  <c r="R90" i="2"/>
  <c r="Q92" i="2" l="1"/>
  <c r="R91" i="2"/>
  <c r="Q93" i="2" l="1"/>
  <c r="R92" i="2"/>
  <c r="Q94" i="2" l="1"/>
  <c r="R93" i="2"/>
  <c r="Q95" i="2" l="1"/>
  <c r="R94" i="2"/>
  <c r="Q96" i="2" l="1"/>
  <c r="R95" i="2"/>
  <c r="Q97" i="2" l="1"/>
  <c r="R96" i="2"/>
  <c r="Q98" i="2" l="1"/>
  <c r="R97" i="2"/>
  <c r="Q99" i="2" l="1"/>
  <c r="R98" i="2"/>
  <c r="Q100" i="2" l="1"/>
  <c r="R99" i="2"/>
  <c r="Q101" i="2" l="1"/>
  <c r="R100" i="2"/>
  <c r="Q102" i="2" l="1"/>
  <c r="R101" i="2"/>
  <c r="Q103" i="2" l="1"/>
  <c r="R102" i="2"/>
  <c r="Q104" i="2" l="1"/>
  <c r="R103" i="2"/>
  <c r="Q105" i="2" l="1"/>
  <c r="R104" i="2"/>
  <c r="Q106" i="2" l="1"/>
  <c r="R105" i="2"/>
  <c r="Q107" i="2" l="1"/>
  <c r="R106" i="2"/>
  <c r="Q108" i="2" l="1"/>
  <c r="R107" i="2"/>
  <c r="Q109" i="2" l="1"/>
  <c r="R108" i="2"/>
  <c r="Q110" i="2" l="1"/>
  <c r="R109" i="2"/>
  <c r="Q111" i="2" l="1"/>
  <c r="R110" i="2"/>
  <c r="Q112" i="2" l="1"/>
  <c r="R111" i="2"/>
  <c r="Q113" i="2" l="1"/>
  <c r="R112" i="2"/>
  <c r="Q114" i="2" l="1"/>
  <c r="R113" i="2"/>
  <c r="Q115" i="2" l="1"/>
  <c r="R114" i="2"/>
  <c r="Q116" i="2" l="1"/>
  <c r="R115" i="2"/>
  <c r="Q117" i="2" l="1"/>
  <c r="R116" i="2"/>
  <c r="Q118" i="2" l="1"/>
  <c r="R117" i="2"/>
  <c r="Q119" i="2" l="1"/>
  <c r="R118" i="2"/>
  <c r="Q120" i="2" l="1"/>
  <c r="R119" i="2"/>
  <c r="Q121" i="2" l="1"/>
  <c r="R120" i="2"/>
  <c r="Q122" i="2" l="1"/>
  <c r="R121" i="2"/>
  <c r="Q123" i="2" l="1"/>
  <c r="R122" i="2"/>
  <c r="Q124" i="2" l="1"/>
  <c r="R123" i="2"/>
  <c r="Q125" i="2" l="1"/>
  <c r="R124" i="2"/>
  <c r="Q126" i="2" l="1"/>
  <c r="R125" i="2"/>
  <c r="Q127" i="2" l="1"/>
  <c r="R126" i="2"/>
  <c r="Q128" i="2" l="1"/>
  <c r="R127" i="2"/>
  <c r="Q129" i="2" l="1"/>
  <c r="R128" i="2"/>
  <c r="Q130" i="2" l="1"/>
  <c r="R129" i="2"/>
  <c r="Q131" i="2" l="1"/>
  <c r="R130" i="2"/>
  <c r="Q132" i="2" l="1"/>
  <c r="R131" i="2"/>
  <c r="Q133" i="2" l="1"/>
  <c r="R132" i="2"/>
  <c r="Q134" i="2" l="1"/>
  <c r="R133" i="2"/>
  <c r="Q135" i="2" l="1"/>
  <c r="R134" i="2"/>
  <c r="Q136" i="2" l="1"/>
  <c r="R135" i="2"/>
  <c r="Q137" i="2" l="1"/>
  <c r="R136" i="2"/>
  <c r="Q138" i="2" l="1"/>
  <c r="R137" i="2"/>
  <c r="Q139" i="2" l="1"/>
  <c r="R138" i="2"/>
  <c r="Q140" i="2" l="1"/>
  <c r="R139" i="2"/>
  <c r="Q141" i="2" l="1"/>
  <c r="R140" i="2"/>
  <c r="Q142" i="2" l="1"/>
  <c r="R141" i="2"/>
  <c r="Q143" i="2" l="1"/>
  <c r="R142" i="2"/>
  <c r="Q144" i="2" l="1"/>
  <c r="R143" i="2"/>
  <c r="Q145" i="2" l="1"/>
  <c r="R144" i="2"/>
  <c r="Q146" i="2" l="1"/>
  <c r="R145" i="2"/>
  <c r="Q147" i="2" l="1"/>
  <c r="R146" i="2"/>
  <c r="Q148" i="2" l="1"/>
  <c r="R147" i="2"/>
  <c r="Q149" i="2" l="1"/>
  <c r="R148" i="2"/>
  <c r="Q150" i="2" l="1"/>
  <c r="R149" i="2"/>
  <c r="Q151" i="2" l="1"/>
  <c r="R150" i="2"/>
  <c r="Q152" i="2" l="1"/>
  <c r="R151" i="2"/>
  <c r="Q153" i="2" l="1"/>
  <c r="R152" i="2"/>
  <c r="Q154" i="2" l="1"/>
  <c r="R153" i="2"/>
  <c r="Q155" i="2" l="1"/>
  <c r="R154" i="2"/>
  <c r="Q156" i="2" l="1"/>
  <c r="R155" i="2"/>
  <c r="Q157" i="2" l="1"/>
  <c r="R156" i="2"/>
  <c r="Q158" i="2" l="1"/>
  <c r="R157" i="2"/>
  <c r="Q159" i="2" l="1"/>
  <c r="R158" i="2"/>
  <c r="Q160" i="2" l="1"/>
  <c r="R159" i="2"/>
  <c r="Q161" i="2" l="1"/>
  <c r="R160" i="2"/>
  <c r="Q162" i="2" l="1"/>
  <c r="R161" i="2"/>
  <c r="Q163" i="2" l="1"/>
  <c r="R162" i="2"/>
  <c r="Q164" i="2" l="1"/>
  <c r="R163" i="2"/>
  <c r="Q165" i="2" l="1"/>
  <c r="R164" i="2"/>
  <c r="Q166" i="2" l="1"/>
  <c r="R165" i="2"/>
  <c r="Q167" i="2" l="1"/>
  <c r="R166" i="2"/>
  <c r="Q168" i="2" l="1"/>
  <c r="R167" i="2"/>
  <c r="Q169" i="2" l="1"/>
  <c r="R169" i="2" s="1"/>
  <c r="B18" i="1" s="1"/>
  <c r="R16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D134FE-7169-49E0-9C84-BF4B5DCB9777}" keepAlive="1" name="Query - withoutote" description="Connection to the 'withoutote' query in the workbook." type="5" refreshedVersion="8" background="1" saveData="1">
    <dbPr connection="Provider=Microsoft.Mashup.OleDb.1;Data Source=$Workbook$;Location=withoutote;Extended Properties=&quot;&quot;" command="SELECT * FROM [withoutot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<sst xmlns="http://schemas.openxmlformats.org/spreadsheetml/2006/main" count="1266" uniqueCount="147">
  <si>
    <t>Trade Number</t>
  </si>
  <si>
    <t>Session</t>
  </si>
  <si>
    <t>Time of Entry</t>
  </si>
  <si>
    <t>Direction</t>
  </si>
  <si>
    <t>HTF FVG Timeframe</t>
  </si>
  <si>
    <t>OTE Low</t>
  </si>
  <si>
    <t>Entry Price</t>
  </si>
  <si>
    <t>Take Profit Price</t>
  </si>
  <si>
    <t>Stop Loss Price</t>
  </si>
  <si>
    <t>Risk %</t>
  </si>
  <si>
    <t>Potential RR</t>
  </si>
  <si>
    <t>Result RR</t>
  </si>
  <si>
    <t>Outcome</t>
  </si>
  <si>
    <t>News</t>
  </si>
  <si>
    <t>Cleaned_Date</t>
  </si>
  <si>
    <t>New York</t>
  </si>
  <si>
    <t>Short</t>
  </si>
  <si>
    <t>1 hour</t>
  </si>
  <si>
    <t>0.382-0.5</t>
  </si>
  <si>
    <t>Win</t>
  </si>
  <si>
    <t>No</t>
  </si>
  <si>
    <t>0.236-0.382</t>
  </si>
  <si>
    <t>Loss</t>
  </si>
  <si>
    <t>15 minute</t>
  </si>
  <si>
    <t>0.618-0.79</t>
  </si>
  <si>
    <t>Yes</t>
  </si>
  <si>
    <t>Long</t>
  </si>
  <si>
    <t>0.5-0.618</t>
  </si>
  <si>
    <t>0.79-1</t>
  </si>
  <si>
    <t>0-0.236</t>
  </si>
  <si>
    <t>Exit</t>
  </si>
  <si>
    <t/>
  </si>
  <si>
    <t>Value</t>
  </si>
  <si>
    <t>Total Trades</t>
  </si>
  <si>
    <t>Winning Trades</t>
  </si>
  <si>
    <t>Losing Trades</t>
  </si>
  <si>
    <t>Win Rate</t>
  </si>
  <si>
    <t>Profitability Metrics</t>
  </si>
  <si>
    <t>Total R</t>
  </si>
  <si>
    <t>Average R</t>
  </si>
  <si>
    <t>Average Win</t>
  </si>
  <si>
    <t>Average Loss</t>
  </si>
  <si>
    <t>Expectancy</t>
  </si>
  <si>
    <t>Profit Factor</t>
  </si>
  <si>
    <t>Basic Metrics</t>
  </si>
  <si>
    <t>Risk Metrics</t>
  </si>
  <si>
    <t>Largest Win</t>
  </si>
  <si>
    <t>Largest Loss</t>
  </si>
  <si>
    <t>Maximum Drawdown</t>
  </si>
  <si>
    <t>Cumulative R</t>
  </si>
  <si>
    <t>Peak Equity</t>
  </si>
  <si>
    <t>Drawdown</t>
  </si>
  <si>
    <t>Trades</t>
  </si>
  <si>
    <t>Wins</t>
  </si>
  <si>
    <t>Direction Analysis</t>
  </si>
  <si>
    <t>Long Trades</t>
  </si>
  <si>
    <t>Short Trades</t>
  </si>
  <si>
    <t>OTE Zone Analysis</t>
  </si>
  <si>
    <t>News Analysis</t>
  </si>
  <si>
    <t>Timeframe</t>
  </si>
  <si>
    <t>Session Analysis</t>
  </si>
  <si>
    <t>Weekday Analysis</t>
  </si>
  <si>
    <t>Day</t>
  </si>
  <si>
    <t>Monday</t>
  </si>
  <si>
    <t>Tuesday</t>
  </si>
  <si>
    <t>Wednesday</t>
  </si>
  <si>
    <t>Thursday</t>
  </si>
  <si>
    <t>Friday</t>
  </si>
  <si>
    <t>Weekday</t>
  </si>
  <si>
    <t>Monthly Analysis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</si>
  <si>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</si>
  <si>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</si>
  <si>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</si>
  <si>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</si>
  <si>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</si>
  <si>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</si>
  <si>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</si>
  <si>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</si>
  <si>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</si>
  <si>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</si>
  <si>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</si>
  <si>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</si>
  <si>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</si>
  <si>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Analyses Tables</t>
  </si>
  <si>
    <t>Analyses Charts</t>
  </si>
  <si>
    <t>1. Executive Summary</t>
  </si>
  <si>
    <t>This report analyses the historical performance of my day trading strategy using Excel.</t>
  </si>
  <si>
    <t>This strategy was evaluated across multiple factors, including trade direction, OTE entry zone, HTF FVG timeframe, trading hour, weekday, and news conditions.</t>
  </si>
  <si>
    <t>The objective was to identify which conditions produced the highest expectancy and to highlight areas where the strategy could be improved.</t>
  </si>
  <si>
    <t>2. Overall Strategy Performance</t>
  </si>
  <si>
    <t>Metric</t>
  </si>
  <si>
    <t>Result</t>
  </si>
  <si>
    <t>Win rate</t>
  </si>
  <si>
    <t>Although the strategy has a relatively low win rate, the positive expectancy indicates that winners are large enough to outweigh losing trades.</t>
  </si>
  <si>
    <t>The strategy relies on maintaining favourable risk-to-reward ratios rather than achieving a high percentage of winning trades.</t>
  </si>
  <si>
    <t>3. Key Findings</t>
  </si>
  <si>
    <t>Avg R</t>
  </si>
  <si>
    <t>Short trades generated a higher average return and a higher win rate than long trades, suggesting the strategy currently performs better</t>
  </si>
  <si>
    <t>in bearish market conditions.</t>
  </si>
  <si>
    <t>OTE Zone</t>
  </si>
  <si>
    <t>This suggests that zones closer to the end of the fibonacci range have choppier price action.</t>
  </si>
  <si>
    <t>The highest win rate and highest average R goes to 0.382-0.5 and 0.5-0.618 zones respectively, while the worst performing zone is 0-0.236,</t>
  </si>
  <si>
    <t>followed closely by 0.236-0.382.</t>
  </si>
  <si>
    <t xml:space="preserve">The 15 minute HTF FVG timeframe clearly outperforms the 1 hour. This suggests the strategy might rely more on recent price displacements </t>
  </si>
  <si>
    <t>rather than price displacements from further ago.</t>
  </si>
  <si>
    <t>Trades with news seem to outperform those without news. This suggests the market movement due to news may be working in our favor</t>
  </si>
  <si>
    <t>for the time being. But the risk with news trading still remains.</t>
  </si>
  <si>
    <t>From my data, trades perform the best when entered on Monday, followed closely on Thursday.</t>
  </si>
  <si>
    <t>However, Tuesdays and Fridays performed the worst.</t>
  </si>
  <si>
    <t xml:space="preserve">Monthly performance varied considerably throughout the years. March and July were the only months that produced a negative average return, </t>
  </si>
  <si>
    <t>whereas August and September returned exceptional average R. Even with the incredible performance in certain months, they should be</t>
  </si>
  <si>
    <t>interpreted with caution, as the sample size is still relatively small, variance is still a big factor.</t>
  </si>
  <si>
    <t>Recommendations</t>
  </si>
  <si>
    <t>1. Prioritising Higher Performing OTE Zones</t>
  </si>
  <si>
    <t xml:space="preserve">The 0.382-0.5 and 0.5-0.618 zones consistently produced the strongest average returns. Where multiple valid setups are available, preference </t>
  </si>
  <si>
    <t xml:space="preserve">should be given to these entry zones while exercising additional caution when trading within the 0-0.236 and 0.236-0.382 ranges. They may even be </t>
  </si>
  <si>
    <t>removed for performance reasons.</t>
  </si>
  <si>
    <t>2. Focus on 15-Minute HTF FVG Setupps</t>
  </si>
  <si>
    <t>Trades using the 15-minute HTF FVG timeframce demonstrated substantially stronger performance than those using the 1 hour timeframe. Future</t>
  </si>
  <si>
    <t>testing should investigate whether emphasising 15 minute setups improves overall strategy expectancy without significantly reducing trading</t>
  </si>
  <si>
    <t>frequency.</t>
  </si>
  <si>
    <t>3. Review Long Trade Criteria</t>
  </si>
  <si>
    <t>Short trades slightly outperformed long trades in both win rate and average return. Although the difference is modest, reviewing long trade</t>
  </si>
  <si>
    <t>criteria may help identify factors contributing to weaker performance.</t>
  </si>
  <si>
    <t>4. Continue Monitoring News Trades</t>
  </si>
  <si>
    <t>Trades executed during news events performed well in this dataset. However, because news releases often introduce high volatility and execution</t>
  </si>
  <si>
    <t>risk, these findings should be validated using a larger sample before incorporating them into a trading strategy.</t>
  </si>
  <si>
    <t>5. Investigate Weaker Time Periods</t>
  </si>
  <si>
    <t>Tuesday, Friday, March, and July recorded weak performance with their counterparts. Rather than avoiding them completely, they should</t>
  </si>
  <si>
    <t>be investigated further to determine whether market conditions or setup characteristics contributed to the lower results.</t>
  </si>
  <si>
    <t>6. Expand The Dataset</t>
  </si>
  <si>
    <t xml:space="preserve">The current analysis is based on only 168 historical trades. Increasing the sample size through additional backtesting and live trading data will </t>
  </si>
  <si>
    <t>improve the reliability of the findings and reduce the influence of random variation or outlier trades.</t>
  </si>
  <si>
    <t>Limitations</t>
  </si>
  <si>
    <t>The analysis is based on a dataset of 168 trades, which may not fully represent all market conditions.</t>
  </si>
  <si>
    <t xml:space="preserve">The strategy was evaluated using historical backtest data and some live trading data, which does not account for factors such as slippage, spreads, </t>
  </si>
  <si>
    <t>execution delays, or trader psychology.</t>
  </si>
  <si>
    <t>Some categories, particularly individual months and specific OTE zones, contain relatively few trades, making their results more susceptible</t>
  </si>
  <si>
    <t>to variance.</t>
  </si>
  <si>
    <t>The analysis focuses on a single trading strategy and may not generalise to other instruments or market conditions.</t>
  </si>
  <si>
    <t>Conclusion</t>
  </si>
  <si>
    <t xml:space="preserve">This Excel analysis identified several factors associated with stronger strategy performance. The strategy demonstrated positive expectancy </t>
  </si>
  <si>
    <t>range, while short trades showed a slight performance advantage over long trades.</t>
  </si>
  <si>
    <t xml:space="preserve">of winning trades. Performance was strongest for trades using the 15 minute HTF FVG timeframe and entries within the 0.382-0.618 OTE </t>
  </si>
  <si>
    <t>These findings provide a data-driven foundation for refining the strategy and highlight opportunities for further validation through</t>
  </si>
  <si>
    <t>additional backtesting and live trading data.</t>
  </si>
  <si>
    <t>despite a relatively low win rate, indicating that profitability is driven by favorable risk-to-reward characteristics rather than a high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</si>
</sst>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2" borderId="1" xfId="0" applyFill="1" applyBorder="1"/>
    <xf numFmtId="0" fontId="0" fillId="0" borderId="2" xfId="0" applyBorder="1"/>
    <xf numFmtId="0" fontId="3" fillId="3" borderId="3" xfId="0" applyFont="1" applyFill="1" applyBorder="1"/>
    <xf numFmtId="0" fontId="3" fillId="3" borderId="1" xfId="0" applyFont="1" applyFill="1" applyBorder="1"/>
    <xf numFmtId="0" fontId="3" fillId="3" borderId="4" xfId="0" applyFont="1" applyFill="1" applyBorder="1"/>
    <xf numFmtId="0" fontId="0" fillId="2" borderId="3" xfId="0" applyFill="1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3" xfId="0" applyFont="1" applyBorder="1"/>
    <xf numFmtId="0" fontId="0" fillId="0" borderId="4" xfId="0" applyFont="1" applyBorder="1"/>
    <xf numFmtId="0" fontId="0" fillId="2" borderId="3" xfId="0" applyFont="1" applyFill="1" applyBorder="1"/>
    <xf numFmtId="0" fontId="0" fillId="2" borderId="4" xfId="0" applyFont="1" applyFill="1" applyBorder="1"/>
    <xf numFmtId="0" fontId="4" fillId="0" borderId="0" xfId="0" applyFont="1"/>
    <xf numFmtId="10" fontId="0" fillId="0" borderId="0" xfId="0" applyNumberFormat="1"/>
    <xf numFmtId="10" fontId="0" fillId="2" borderId="1" xfId="0" applyNumberFormat="1" applyFill="1" applyBorder="1"/>
    <xf numFmtId="10" fontId="0" fillId="0" borderId="1" xfId="0" applyNumberFormat="1" applyBorder="1"/>
    <xf numFmtId="10" fontId="0" fillId="2" borderId="1" xfId="0" applyNumberFormat="1" applyFont="1" applyFill="1" applyBorder="1"/>
    <xf numFmtId="10" fontId="0" fillId="0" borderId="1" xfId="0" applyNumberFormat="1" applyFont="1" applyBorder="1"/>
  </cellXfs>
  <cellStyles count="1">
    <cellStyle name="Normal" xfId="0" builtinId="0"/>
  </cellStyles>
  <dxfs count="41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Long vs Short Trades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'Exploratory Data Analysis'!$A$4</c:f>
              <c:strCache>
                <c:ptCount val="1"/>
                <c:pt idx="0">
                  <c:v>Long Trades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'Exploratory Data Analysis'!$B$3:$I$3</c:f>
              <c:strCache>
                <c:ptCount val="8"/>
                <c:pt idx="0">
                  <c:v>Trades</c:v>
                </c:pt>
                <c:pt idx="1">
                  <c:v>Wins</c:v>
                </c:pt>
                <c:pt idx="2">
                  <c:v>Win Rate</c:v>
                </c:pt>
                <c:pt idx="3">
                  <c:v>Average R</c:v>
                </c:pt>
                <c:pt idx="4">
                  <c:v>Total R</c:v>
                </c:pt>
                <c:pt idx="5">
                  <c:v>Average Win</c:v>
                </c:pt>
                <c:pt idx="6">
                  <c:v>Average Loss</c:v>
                </c:pt>
                <c:pt idx="7">
                  <c:v>Expectancy</c:v>
                </c:pt>
              </c:strCache>
            </c:strRef>
          </c:cat>
          <c:val>
            <c:numRef>
              <c:f>'Exploratory Data Analysis'!$B$4:$I$4</c:f>
              <c:numCache>
                <c:formatCode>General</c:formatCode>
                <c:ptCount val="8"/>
                <c:pt idx="0">
                  <c:v>78</c:v>
                </c:pt>
                <c:pt idx="1">
                  <c:v>29</c:v>
                </c:pt>
                <c:pt idx="2" formatCode="0.00%">
                  <c:v>0.37179487179487181</c:v>
                </c:pt>
                <c:pt idx="3">
                  <c:v>0.35243589743589737</c:v>
                </c:pt>
                <c:pt idx="4">
                  <c:v>27.489999999999995</c:v>
                </c:pt>
                <c:pt idx="5">
                  <c:v>2.1341379310344832</c:v>
                </c:pt>
                <c:pt idx="6">
                  <c:v>-0.7020408163265307</c:v>
                </c:pt>
                <c:pt idx="7">
                  <c:v>0.35243589743589759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6-49B2-A342-6725051B5101}"/>
            </c:ext>
          </c:extLst>
        </c:ser>
        <c:ser>
          <c:idx val="1"/>
          <c:order val="1"/>
          <c:tx>
            <c:strRef>
              <c:f>'Exploratory Data Analysis'!$A$5</c:f>
              <c:strCache>
                <c:ptCount val="1"/>
                <c:pt idx="0">
                  <c:v>Short Trades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'Exploratory Data Analysis'!$B$3:$I$3</c:f>
              <c:strCache>
                <c:ptCount val="8"/>
                <c:pt idx="0">
                  <c:v>Trades</c:v>
                </c:pt>
                <c:pt idx="1">
                  <c:v>Wins</c:v>
                </c:pt>
                <c:pt idx="2">
                  <c:v>Win Rate</c:v>
                </c:pt>
                <c:pt idx="3">
                  <c:v>Average R</c:v>
                </c:pt>
                <c:pt idx="4">
                  <c:v>Total R</c:v>
                </c:pt>
                <c:pt idx="5">
                  <c:v>Average Win</c:v>
                </c:pt>
                <c:pt idx="6">
                  <c:v>Average Loss</c:v>
                </c:pt>
                <c:pt idx="7">
                  <c:v>Expectancy</c:v>
                </c:pt>
              </c:strCache>
            </c:strRef>
          </c:cat>
          <c:val>
            <c:numRef>
              <c:f>'Exploratory Data Analysis'!$B$5:$I$5</c:f>
              <c:numCache>
                <c:formatCode>General</c:formatCode>
                <c:ptCount val="8"/>
                <c:pt idx="0">
                  <c:v>90</c:v>
                </c:pt>
                <c:pt idx="1">
                  <c:v>35</c:v>
                </c:pt>
                <c:pt idx="2" formatCode="0.00%">
                  <c:v>0.3888888888888889</c:v>
                </c:pt>
                <c:pt idx="3">
                  <c:v>0.3756666666666667</c:v>
                </c:pt>
                <c:pt idx="4">
                  <c:v>33.81</c:v>
                </c:pt>
                <c:pt idx="5">
                  <c:v>2.3497142857142861</c:v>
                </c:pt>
                <c:pt idx="6">
                  <c:v>0.64250000000000007</c:v>
                </c:pt>
                <c:pt idx="7">
                  <c:v>1.3064166666666668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E6-49B2-A342-6725051B510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0135967"/>
        <c:axId val="1749478255"/>
      </c:barChart>
      <c:catAx>
        <c:axId val="165013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478255"/>
        <c:crosses val="autoZero"/>
        <c:auto val="1"/>
        <c:lblAlgn val="ctr"/>
        <c:lblOffset val="100"/>
        <c:noMultiLvlLbl val="0"/>
      </c:catAx>
      <c:valAx>
        <c:axId val="174947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1359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1 Hour vs 15 Minute</a:t>
            </a:r>
            <a:r>
              <a:rPr lang="en-MY" baseline="0"/>
              <a:t> Timeframe Performance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'Exploratory Data Analysis'!$A$9</c:f>
              <c:strCache>
                <c:ptCount val="1"/>
                <c:pt idx="0">
                  <c:v>1 hour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'Exploratory Data Analysis'!$B$8:$I$8</c:f>
              <c:strCache>
                <c:ptCount val="8"/>
                <c:pt idx="0">
                  <c:v>Trades</c:v>
                </c:pt>
                <c:pt idx="1">
                  <c:v>Wins</c:v>
                </c:pt>
                <c:pt idx="2">
                  <c:v>Win Rate</c:v>
                </c:pt>
                <c:pt idx="3">
                  <c:v>Average R</c:v>
                </c:pt>
                <c:pt idx="4">
                  <c:v>Total R</c:v>
                </c:pt>
                <c:pt idx="5">
                  <c:v>Average Win</c:v>
                </c:pt>
                <c:pt idx="6">
                  <c:v>Average Loss</c:v>
                </c:pt>
                <c:pt idx="7">
                  <c:v>Expectancy</c:v>
                </c:pt>
              </c:strCache>
            </c:strRef>
          </c:cat>
          <c:val>
            <c:numRef>
              <c:f>'Exploratory Data Analysis'!$B$9:$I$9</c:f>
              <c:numCache>
                <c:formatCode>General</c:formatCode>
                <c:ptCount val="8"/>
                <c:pt idx="0">
                  <c:v>75</c:v>
                </c:pt>
                <c:pt idx="1">
                  <c:v>22</c:v>
                </c:pt>
                <c:pt idx="2" formatCode="0.00%">
                  <c:v>0.29333333333333333</c:v>
                </c:pt>
                <c:pt idx="3">
                  <c:v>0.13319999999999987</c:v>
                </c:pt>
                <c:pt idx="4">
                  <c:v>9.9899999999999913</c:v>
                </c:pt>
                <c:pt idx="5">
                  <c:v>2.5172727272727276</c:v>
                </c:pt>
                <c:pt idx="6">
                  <c:v>-0.85641509433962271</c:v>
                </c:pt>
                <c:pt idx="7">
                  <c:v>0.13319999999999999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E-4682-915D-98C750A21167}"/>
            </c:ext>
          </c:extLst>
        </c:ser>
        <c:ser>
          <c:idx val="1"/>
          <c:order val="1"/>
          <c:tx>
            <c:strRef>
              <c:f>'Exploratory Data Analysis'!$A$10</c:f>
              <c:strCache>
                <c:ptCount val="1"/>
                <c:pt idx="0">
                  <c:v>15 minute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'Exploratory Data Analysis'!$B$8:$I$8</c:f>
              <c:strCache>
                <c:ptCount val="8"/>
                <c:pt idx="0">
                  <c:v>Trades</c:v>
                </c:pt>
                <c:pt idx="1">
                  <c:v>Wins</c:v>
                </c:pt>
                <c:pt idx="2">
                  <c:v>Win Rate</c:v>
                </c:pt>
                <c:pt idx="3">
                  <c:v>Average R</c:v>
                </c:pt>
                <c:pt idx="4">
                  <c:v>Total R</c:v>
                </c:pt>
                <c:pt idx="5">
                  <c:v>Average Win</c:v>
                </c:pt>
                <c:pt idx="6">
                  <c:v>Average Loss</c:v>
                </c:pt>
                <c:pt idx="7">
                  <c:v>Expectancy</c:v>
                </c:pt>
              </c:strCache>
            </c:strRef>
          </c:cat>
          <c:val>
            <c:numRef>
              <c:f>'Exploratory Data Analysis'!$B$10:$I$10</c:f>
              <c:numCache>
                <c:formatCode>General</c:formatCode>
                <c:ptCount val="8"/>
                <c:pt idx="0">
                  <c:v>93</c:v>
                </c:pt>
                <c:pt idx="1">
                  <c:v>42</c:v>
                </c:pt>
                <c:pt idx="2" formatCode="0.00%">
                  <c:v>0.45161290322580644</c:v>
                </c:pt>
                <c:pt idx="3">
                  <c:v>0.55172043010752703</c:v>
                </c:pt>
                <c:pt idx="4">
                  <c:v>51.310000000000016</c:v>
                </c:pt>
                <c:pt idx="5">
                  <c:v>2.1130952380952381</c:v>
                </c:pt>
                <c:pt idx="6">
                  <c:v>-0.73411764705882343</c:v>
                </c:pt>
                <c:pt idx="7">
                  <c:v>0.55172043010752703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9E-4682-915D-98C750A21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6900607"/>
        <c:axId val="1749453775"/>
      </c:barChart>
      <c:catAx>
        <c:axId val="174690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453775"/>
        <c:crosses val="autoZero"/>
        <c:auto val="1"/>
        <c:lblAlgn val="ctr"/>
        <c:lblOffset val="100"/>
        <c:noMultiLvlLbl val="0"/>
      </c:catAx>
      <c:valAx>
        <c:axId val="174945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9006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OTE Zones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'Exploratory Data Analysis'!$A$14</c:f>
              <c:strCache>
                <c:ptCount val="1"/>
                <c:pt idx="0">
                  <c:v>0-0.236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'Exploratory Data Analysis'!$B$13:$I$13</c:f>
              <c:strCache>
                <c:ptCount val="8"/>
                <c:pt idx="0">
                  <c:v>Trades</c:v>
                </c:pt>
                <c:pt idx="1">
                  <c:v>Wins</c:v>
                </c:pt>
                <c:pt idx="2">
                  <c:v>Win Rate</c:v>
                </c:pt>
                <c:pt idx="3">
                  <c:v>Average R</c:v>
                </c:pt>
                <c:pt idx="4">
                  <c:v>Total R</c:v>
                </c:pt>
                <c:pt idx="5">
                  <c:v>Average Win</c:v>
                </c:pt>
                <c:pt idx="6">
                  <c:v>Average Loss</c:v>
                </c:pt>
                <c:pt idx="7">
                  <c:v>Expectancy</c:v>
                </c:pt>
              </c:strCache>
            </c:strRef>
          </c:cat>
          <c:val>
            <c:numRef>
              <c:f>'Exploratory Data Analysis'!$B$14:$I$14</c:f>
              <c:numCache>
                <c:formatCode>General</c:formatCode>
                <c:ptCount val="8"/>
                <c:pt idx="0">
                  <c:v>4</c:v>
                </c:pt>
                <c:pt idx="1">
                  <c:v>1</c:v>
                </c:pt>
                <c:pt idx="2" formatCode="0.00%">
                  <c:v>0.25</c:v>
                </c:pt>
                <c:pt idx="3">
                  <c:v>-0.1875</c:v>
                </c:pt>
                <c:pt idx="4">
                  <c:v>-0.75</c:v>
                </c:pt>
                <c:pt idx="5">
                  <c:v>2.25</c:v>
                </c:pt>
                <c:pt idx="6">
                  <c:v>-1</c:v>
                </c:pt>
                <c:pt idx="7">
                  <c:v>-0.1875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F-4D69-9BC5-6B4E9AD81AF5}"/>
            </c:ext>
          </c:extLst>
        </c:ser>
        <c:ser>
          <c:idx val="1"/>
          <c:order val="1"/>
          <c:tx>
            <c:strRef>
              <c:f>'Exploratory Data Analysis'!$A$15</c:f>
              <c:strCache>
                <c:ptCount val="1"/>
                <c:pt idx="0">
                  <c:v>0.236-0.382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'Exploratory Data Analysis'!$B$13:$I$13</c:f>
              <c:strCache>
                <c:ptCount val="8"/>
                <c:pt idx="0">
                  <c:v>Trades</c:v>
                </c:pt>
                <c:pt idx="1">
                  <c:v>Wins</c:v>
                </c:pt>
                <c:pt idx="2">
                  <c:v>Win Rate</c:v>
                </c:pt>
                <c:pt idx="3">
                  <c:v>Average R</c:v>
                </c:pt>
                <c:pt idx="4">
                  <c:v>Total R</c:v>
                </c:pt>
                <c:pt idx="5">
                  <c:v>Average Win</c:v>
                </c:pt>
                <c:pt idx="6">
                  <c:v>Average Loss</c:v>
                </c:pt>
                <c:pt idx="7">
                  <c:v>Expectancy</c:v>
                </c:pt>
              </c:strCache>
            </c:strRef>
          </c:cat>
          <c:val>
            <c:numRef>
              <c:f>'Exploratory Data Analysis'!$B$15:$I$15</c:f>
              <c:numCache>
                <c:formatCode>General</c:formatCode>
                <c:ptCount val="8"/>
                <c:pt idx="0">
                  <c:v>20</c:v>
                </c:pt>
                <c:pt idx="1">
                  <c:v>7</c:v>
                </c:pt>
                <c:pt idx="2" formatCode="0.00%">
                  <c:v>0.35</c:v>
                </c:pt>
                <c:pt idx="3">
                  <c:v>4.4500000000000005E-2</c:v>
                </c:pt>
                <c:pt idx="4">
                  <c:v>0.89000000000000012</c:v>
                </c:pt>
                <c:pt idx="5">
                  <c:v>1.9842857142857142</c:v>
                </c:pt>
                <c:pt idx="6">
                  <c:v>-1</c:v>
                </c:pt>
                <c:pt idx="7">
                  <c:v>4.4499999999999873E-2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0F-4D69-9BC5-6B4E9AD81AF5}"/>
            </c:ext>
          </c:extLst>
        </c:ser>
        <c:ser>
          <c:idx val="2"/>
          <c:order val="2"/>
          <c:tx>
            <c:strRef>
              <c:f>'Exploratory Data Analysis'!$A$16</c:f>
              <c:strCache>
                <c:ptCount val="1"/>
                <c:pt idx="0">
                  <c:v>0.382-0.5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'Exploratory Data Analysis'!$B$13:$I$13</c:f>
              <c:strCache>
                <c:ptCount val="8"/>
                <c:pt idx="0">
                  <c:v>Trades</c:v>
                </c:pt>
                <c:pt idx="1">
                  <c:v>Wins</c:v>
                </c:pt>
                <c:pt idx="2">
                  <c:v>Win Rate</c:v>
                </c:pt>
                <c:pt idx="3">
                  <c:v>Average R</c:v>
                </c:pt>
                <c:pt idx="4">
                  <c:v>Total R</c:v>
                </c:pt>
                <c:pt idx="5">
                  <c:v>Average Win</c:v>
                </c:pt>
                <c:pt idx="6">
                  <c:v>Average Loss</c:v>
                </c:pt>
                <c:pt idx="7">
                  <c:v>Expectancy</c:v>
                </c:pt>
              </c:strCache>
            </c:strRef>
          </c:cat>
          <c:val>
            <c:numRef>
              <c:f>'Exploratory Data Analysis'!$B$16:$I$16</c:f>
              <c:numCache>
                <c:formatCode>General</c:formatCode>
                <c:ptCount val="8"/>
                <c:pt idx="0">
                  <c:v>41</c:v>
                </c:pt>
                <c:pt idx="1">
                  <c:v>19</c:v>
                </c:pt>
                <c:pt idx="2" formatCode="0.00%">
                  <c:v>0.46341463414634149</c:v>
                </c:pt>
                <c:pt idx="3">
                  <c:v>0.4492682926829269</c:v>
                </c:pt>
                <c:pt idx="4">
                  <c:v>18.420000000000002</c:v>
                </c:pt>
                <c:pt idx="5">
                  <c:v>1.8415789473684208</c:v>
                </c:pt>
                <c:pt idx="6">
                  <c:v>-0.75318181818181817</c:v>
                </c:pt>
                <c:pt idx="7">
                  <c:v>0.44926829268292667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0F-4D69-9BC5-6B4E9AD81AF5}"/>
            </c:ext>
          </c:extLst>
        </c:ser>
        <c:ser>
          <c:idx val="3"/>
          <c:order val="3"/>
          <c:tx>
            <c:strRef>
              <c:f>'Exploratory Data Analysis'!$A$17</c:f>
              <c:strCache>
                <c:ptCount val="1"/>
                <c:pt idx="0">
                  <c:v>0.5-0.618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'Exploratory Data Analysis'!$B$13:$I$13</c:f>
              <c:strCache>
                <c:ptCount val="8"/>
                <c:pt idx="0">
                  <c:v>Trades</c:v>
                </c:pt>
                <c:pt idx="1">
                  <c:v>Wins</c:v>
                </c:pt>
                <c:pt idx="2">
                  <c:v>Win Rate</c:v>
                </c:pt>
                <c:pt idx="3">
                  <c:v>Average R</c:v>
                </c:pt>
                <c:pt idx="4">
                  <c:v>Total R</c:v>
                </c:pt>
                <c:pt idx="5">
                  <c:v>Average Win</c:v>
                </c:pt>
                <c:pt idx="6">
                  <c:v>Average Loss</c:v>
                </c:pt>
                <c:pt idx="7">
                  <c:v>Expectancy</c:v>
                </c:pt>
              </c:strCache>
            </c:strRef>
          </c:cat>
          <c:val>
            <c:numRef>
              <c:f>'Exploratory Data Analysis'!$B$17:$I$17</c:f>
              <c:numCache>
                <c:formatCode>General</c:formatCode>
                <c:ptCount val="8"/>
                <c:pt idx="0">
                  <c:v>41</c:v>
                </c:pt>
                <c:pt idx="1">
                  <c:v>18</c:v>
                </c:pt>
                <c:pt idx="2" formatCode="0.00%">
                  <c:v>0.43902439024390244</c:v>
                </c:pt>
                <c:pt idx="3">
                  <c:v>0.4892682926829266</c:v>
                </c:pt>
                <c:pt idx="4">
                  <c:v>20.059999999999992</c:v>
                </c:pt>
                <c:pt idx="5">
                  <c:v>2.1983333333333333</c:v>
                </c:pt>
                <c:pt idx="6">
                  <c:v>-0.84826086956521729</c:v>
                </c:pt>
                <c:pt idx="7">
                  <c:v>0.48926829268292682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0F-4D69-9BC5-6B4E9AD81AF5}"/>
            </c:ext>
          </c:extLst>
        </c:ser>
        <c:ser>
          <c:idx val="4"/>
          <c:order val="4"/>
          <c:tx>
            <c:strRef>
              <c:f>'Exploratory Data Analysis'!$A$18</c:f>
              <c:strCache>
                <c:ptCount val="1"/>
                <c:pt idx="0">
                  <c:v>0.618-0.79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'Exploratory Data Analysis'!$B$13:$I$13</c:f>
              <c:strCache>
                <c:ptCount val="8"/>
                <c:pt idx="0">
                  <c:v>Trades</c:v>
                </c:pt>
                <c:pt idx="1">
                  <c:v>Wins</c:v>
                </c:pt>
                <c:pt idx="2">
                  <c:v>Win Rate</c:v>
                </c:pt>
                <c:pt idx="3">
                  <c:v>Average R</c:v>
                </c:pt>
                <c:pt idx="4">
                  <c:v>Total R</c:v>
                </c:pt>
                <c:pt idx="5">
                  <c:v>Average Win</c:v>
                </c:pt>
                <c:pt idx="6">
                  <c:v>Average Loss</c:v>
                </c:pt>
                <c:pt idx="7">
                  <c:v>Expectancy</c:v>
                </c:pt>
              </c:strCache>
            </c:strRef>
          </c:cat>
          <c:val>
            <c:numRef>
              <c:f>'Exploratory Data Analysis'!$B$18:$I$18</c:f>
              <c:numCache>
                <c:formatCode>General</c:formatCode>
                <c:ptCount val="8"/>
                <c:pt idx="0">
                  <c:v>52</c:v>
                </c:pt>
                <c:pt idx="1">
                  <c:v>16</c:v>
                </c:pt>
                <c:pt idx="2" formatCode="0.00%">
                  <c:v>0.30769230769230771</c:v>
                </c:pt>
                <c:pt idx="3">
                  <c:v>0.28269230769230763</c:v>
                </c:pt>
                <c:pt idx="4">
                  <c:v>14.699999999999998</c:v>
                </c:pt>
                <c:pt idx="5">
                  <c:v>2.4031250000000002</c:v>
                </c:pt>
                <c:pt idx="6">
                  <c:v>-0.65972222222222232</c:v>
                </c:pt>
                <c:pt idx="7">
                  <c:v>0.2826923076923078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0F-4D69-9BC5-6B4E9AD81AF5}"/>
            </c:ext>
          </c:extLst>
        </c:ser>
        <c:ser>
          <c:idx val="5"/>
          <c:order val="5"/>
          <c:tx>
            <c:strRef>
              <c:f>'Exploratory Data Analysis'!$A$19</c:f>
              <c:strCache>
                <c:ptCount val="1"/>
                <c:pt idx="0">
                  <c:v>0.79-1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'Exploratory Data Analysis'!$B$13:$I$13</c:f>
              <c:strCache>
                <c:ptCount val="8"/>
                <c:pt idx="0">
                  <c:v>Trades</c:v>
                </c:pt>
                <c:pt idx="1">
                  <c:v>Wins</c:v>
                </c:pt>
                <c:pt idx="2">
                  <c:v>Win Rate</c:v>
                </c:pt>
                <c:pt idx="3">
                  <c:v>Average R</c:v>
                </c:pt>
                <c:pt idx="4">
                  <c:v>Total R</c:v>
                </c:pt>
                <c:pt idx="5">
                  <c:v>Average Win</c:v>
                </c:pt>
                <c:pt idx="6">
                  <c:v>Average Loss</c:v>
                </c:pt>
                <c:pt idx="7">
                  <c:v>Expectancy</c:v>
                </c:pt>
              </c:strCache>
            </c:strRef>
          </c:cat>
          <c:val>
            <c:numRef>
              <c:f>'Exploratory Data Analysis'!$B$19:$I$19</c:f>
              <c:numCache>
                <c:formatCode>General</c:formatCode>
                <c:ptCount val="8"/>
                <c:pt idx="0">
                  <c:v>9</c:v>
                </c:pt>
                <c:pt idx="1">
                  <c:v>2</c:v>
                </c:pt>
                <c:pt idx="2" formatCode="0.00%">
                  <c:v>0.22222222222222221</c:v>
                </c:pt>
                <c:pt idx="3">
                  <c:v>0.6133333333333334</c:v>
                </c:pt>
                <c:pt idx="4">
                  <c:v>5.5200000000000005</c:v>
                </c:pt>
                <c:pt idx="5">
                  <c:v>6.26</c:v>
                </c:pt>
                <c:pt idx="6">
                  <c:v>-1</c:v>
                </c:pt>
                <c:pt idx="7">
                  <c:v>0.61333333333333317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0F-4D69-9BC5-6B4E9AD81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0223503"/>
        <c:axId val="1749503215"/>
      </c:barChart>
      <c:catAx>
        <c:axId val="176022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503215"/>
        <c:crosses val="autoZero"/>
        <c:auto val="1"/>
        <c:lblAlgn val="ctr"/>
        <c:lblOffset val="100"/>
        <c:noMultiLvlLbl val="0"/>
      </c:catAx>
      <c:valAx>
        <c:axId val="174950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2235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News Effect</a:t>
            </a:r>
            <a:r>
              <a:rPr lang="en-MY" baseline="0"/>
              <a:t> On Trades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'Exploratory Data Analysis'!$A$23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'Exploratory Data Analysis'!$B$22:$I$22</c:f>
              <c:strCache>
                <c:ptCount val="8"/>
                <c:pt idx="0">
                  <c:v>Trades</c:v>
                </c:pt>
                <c:pt idx="1">
                  <c:v>Wins</c:v>
                </c:pt>
                <c:pt idx="2">
                  <c:v>Win Rate</c:v>
                </c:pt>
                <c:pt idx="3">
                  <c:v>Average R</c:v>
                </c:pt>
                <c:pt idx="4">
                  <c:v>Total R</c:v>
                </c:pt>
                <c:pt idx="5">
                  <c:v>Average Win</c:v>
                </c:pt>
                <c:pt idx="6">
                  <c:v>Average Loss</c:v>
                </c:pt>
                <c:pt idx="7">
                  <c:v>Expectancy</c:v>
                </c:pt>
              </c:strCache>
            </c:strRef>
          </c:cat>
          <c:val>
            <c:numRef>
              <c:f>'Exploratory Data Analysis'!$B$23:$I$23</c:f>
              <c:numCache>
                <c:formatCode>General</c:formatCode>
                <c:ptCount val="8"/>
                <c:pt idx="0">
                  <c:v>35</c:v>
                </c:pt>
                <c:pt idx="1">
                  <c:v>16</c:v>
                </c:pt>
                <c:pt idx="2" formatCode="0.00%">
                  <c:v>0.45714285714285713</c:v>
                </c:pt>
                <c:pt idx="3">
                  <c:v>0.37228571428571422</c:v>
                </c:pt>
                <c:pt idx="4">
                  <c:v>13.029999999999998</c:v>
                </c:pt>
                <c:pt idx="5">
                  <c:v>1.8474999999999999</c:v>
                </c:pt>
                <c:pt idx="6">
                  <c:v>-0.87000000000000011</c:v>
                </c:pt>
                <c:pt idx="7">
                  <c:v>0.37228571428571411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B-4057-A684-5E8AC91D7462}"/>
            </c:ext>
          </c:extLst>
        </c:ser>
        <c:ser>
          <c:idx val="1"/>
          <c:order val="1"/>
          <c:tx>
            <c:strRef>
              <c:f>'Exploratory Data Analysis'!$A$24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'Exploratory Data Analysis'!$B$22:$I$22</c:f>
              <c:strCache>
                <c:ptCount val="8"/>
                <c:pt idx="0">
                  <c:v>Trades</c:v>
                </c:pt>
                <c:pt idx="1">
                  <c:v>Wins</c:v>
                </c:pt>
                <c:pt idx="2">
                  <c:v>Win Rate</c:v>
                </c:pt>
                <c:pt idx="3">
                  <c:v>Average R</c:v>
                </c:pt>
                <c:pt idx="4">
                  <c:v>Total R</c:v>
                </c:pt>
                <c:pt idx="5">
                  <c:v>Average Win</c:v>
                </c:pt>
                <c:pt idx="6">
                  <c:v>Average Loss</c:v>
                </c:pt>
                <c:pt idx="7">
                  <c:v>Expectancy</c:v>
                </c:pt>
              </c:strCache>
            </c:strRef>
          </c:cat>
          <c:val>
            <c:numRef>
              <c:f>'Exploratory Data Analysis'!$B$24:$I$24</c:f>
              <c:numCache>
                <c:formatCode>General</c:formatCode>
                <c:ptCount val="8"/>
                <c:pt idx="0">
                  <c:v>133</c:v>
                </c:pt>
                <c:pt idx="1">
                  <c:v>48</c:v>
                </c:pt>
                <c:pt idx="2" formatCode="0.00%">
                  <c:v>0.36090225563909772</c:v>
                </c:pt>
                <c:pt idx="3">
                  <c:v>0.36293233082706777</c:v>
                </c:pt>
                <c:pt idx="4">
                  <c:v>48.27000000000001</c:v>
                </c:pt>
                <c:pt idx="5">
                  <c:v>2.3868749999999999</c:v>
                </c:pt>
                <c:pt idx="6">
                  <c:v>-0.77999999999999992</c:v>
                </c:pt>
                <c:pt idx="7">
                  <c:v>0.36293233082706761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1B-4057-A684-5E8AC91D7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6712511"/>
        <c:axId val="1749495535"/>
      </c:barChart>
      <c:catAx>
        <c:axId val="175671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495535"/>
        <c:crosses val="autoZero"/>
        <c:auto val="1"/>
        <c:lblAlgn val="ctr"/>
        <c:lblOffset val="100"/>
        <c:noMultiLvlLbl val="0"/>
      </c:catAx>
      <c:valAx>
        <c:axId val="174949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7125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Weekday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'Exploratory Data Analysis'!$A$32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'Exploratory Data Analysis'!$B$31:$I$31</c:f>
              <c:strCache>
                <c:ptCount val="8"/>
                <c:pt idx="0">
                  <c:v>Trades</c:v>
                </c:pt>
                <c:pt idx="1">
                  <c:v>Wins</c:v>
                </c:pt>
                <c:pt idx="2">
                  <c:v>Win Rate</c:v>
                </c:pt>
                <c:pt idx="3">
                  <c:v>Average R</c:v>
                </c:pt>
                <c:pt idx="4">
                  <c:v>Total R</c:v>
                </c:pt>
                <c:pt idx="5">
                  <c:v>Average Win</c:v>
                </c:pt>
                <c:pt idx="6">
                  <c:v>Average Loss</c:v>
                </c:pt>
                <c:pt idx="7">
                  <c:v>Expectancy</c:v>
                </c:pt>
              </c:strCache>
            </c:strRef>
          </c:cat>
          <c:val>
            <c:numRef>
              <c:f>'Exploratory Data Analysis'!$B$32:$I$32</c:f>
              <c:numCache>
                <c:formatCode>General</c:formatCode>
                <c:ptCount val="8"/>
                <c:pt idx="0">
                  <c:v>35</c:v>
                </c:pt>
                <c:pt idx="1">
                  <c:v>19</c:v>
                </c:pt>
                <c:pt idx="2" formatCode="0.00%">
                  <c:v>0.54285714285714282</c:v>
                </c:pt>
                <c:pt idx="3">
                  <c:v>0.8522857142857142</c:v>
                </c:pt>
                <c:pt idx="4">
                  <c:v>29.83</c:v>
                </c:pt>
                <c:pt idx="5">
                  <c:v>2.4121052631578945</c:v>
                </c:pt>
                <c:pt idx="6">
                  <c:v>-1</c:v>
                </c:pt>
                <c:pt idx="7">
                  <c:v>0.85228571428571398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6-4B19-B83C-814022F25BA2}"/>
            </c:ext>
          </c:extLst>
        </c:ser>
        <c:ser>
          <c:idx val="1"/>
          <c:order val="1"/>
          <c:tx>
            <c:strRef>
              <c:f>'Exploratory Data Analysis'!$A$33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'Exploratory Data Analysis'!$B$31:$I$31</c:f>
              <c:strCache>
                <c:ptCount val="8"/>
                <c:pt idx="0">
                  <c:v>Trades</c:v>
                </c:pt>
                <c:pt idx="1">
                  <c:v>Wins</c:v>
                </c:pt>
                <c:pt idx="2">
                  <c:v>Win Rate</c:v>
                </c:pt>
                <c:pt idx="3">
                  <c:v>Average R</c:v>
                </c:pt>
                <c:pt idx="4">
                  <c:v>Total R</c:v>
                </c:pt>
                <c:pt idx="5">
                  <c:v>Average Win</c:v>
                </c:pt>
                <c:pt idx="6">
                  <c:v>Average Loss</c:v>
                </c:pt>
                <c:pt idx="7">
                  <c:v>Expectancy</c:v>
                </c:pt>
              </c:strCache>
            </c:strRef>
          </c:cat>
          <c:val>
            <c:numRef>
              <c:f>'Exploratory Data Analysis'!$B$33:$I$33</c:f>
              <c:numCache>
                <c:formatCode>General</c:formatCode>
                <c:ptCount val="8"/>
                <c:pt idx="0">
                  <c:v>44</c:v>
                </c:pt>
                <c:pt idx="1">
                  <c:v>10</c:v>
                </c:pt>
                <c:pt idx="2" formatCode="0.00%">
                  <c:v>0.22727272727272727</c:v>
                </c:pt>
                <c:pt idx="3">
                  <c:v>-0.33068181818181819</c:v>
                </c:pt>
                <c:pt idx="4">
                  <c:v>-14.55</c:v>
                </c:pt>
                <c:pt idx="5">
                  <c:v>1.7449999999999999</c:v>
                </c:pt>
                <c:pt idx="6">
                  <c:v>-0.94117647058823528</c:v>
                </c:pt>
                <c:pt idx="7">
                  <c:v>-0.33068181818181824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86-4B19-B83C-814022F25BA2}"/>
            </c:ext>
          </c:extLst>
        </c:ser>
        <c:ser>
          <c:idx val="2"/>
          <c:order val="2"/>
          <c:tx>
            <c:strRef>
              <c:f>'Exploratory Data Analysis'!$A$34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'Exploratory Data Analysis'!$B$31:$I$31</c:f>
              <c:strCache>
                <c:ptCount val="8"/>
                <c:pt idx="0">
                  <c:v>Trades</c:v>
                </c:pt>
                <c:pt idx="1">
                  <c:v>Wins</c:v>
                </c:pt>
                <c:pt idx="2">
                  <c:v>Win Rate</c:v>
                </c:pt>
                <c:pt idx="3">
                  <c:v>Average R</c:v>
                </c:pt>
                <c:pt idx="4">
                  <c:v>Total R</c:v>
                </c:pt>
                <c:pt idx="5">
                  <c:v>Average Win</c:v>
                </c:pt>
                <c:pt idx="6">
                  <c:v>Average Loss</c:v>
                </c:pt>
                <c:pt idx="7">
                  <c:v>Expectancy</c:v>
                </c:pt>
              </c:strCache>
            </c:strRef>
          </c:cat>
          <c:val>
            <c:numRef>
              <c:f>'Exploratory Data Analysis'!$B$34:$I$34</c:f>
              <c:numCache>
                <c:formatCode>General</c:formatCode>
                <c:ptCount val="8"/>
                <c:pt idx="0">
                  <c:v>33</c:v>
                </c:pt>
                <c:pt idx="1">
                  <c:v>13</c:v>
                </c:pt>
                <c:pt idx="2" formatCode="0.00%">
                  <c:v>0.39393939393939392</c:v>
                </c:pt>
                <c:pt idx="3">
                  <c:v>0.78333333333333321</c:v>
                </c:pt>
                <c:pt idx="4">
                  <c:v>25.849999999999998</c:v>
                </c:pt>
                <c:pt idx="5">
                  <c:v>3.2761538461538464</c:v>
                </c:pt>
                <c:pt idx="6">
                  <c:v>-1</c:v>
                </c:pt>
                <c:pt idx="7">
                  <c:v>0.68454545454545468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86-4B19-B83C-814022F25BA2}"/>
            </c:ext>
          </c:extLst>
        </c:ser>
        <c:ser>
          <c:idx val="3"/>
          <c:order val="3"/>
          <c:tx>
            <c:strRef>
              <c:f>'Exploratory Data Analysis'!$A$35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'Exploratory Data Analysis'!$B$31:$I$31</c:f>
              <c:strCache>
                <c:ptCount val="8"/>
                <c:pt idx="0">
                  <c:v>Trades</c:v>
                </c:pt>
                <c:pt idx="1">
                  <c:v>Wins</c:v>
                </c:pt>
                <c:pt idx="2">
                  <c:v>Win Rate</c:v>
                </c:pt>
                <c:pt idx="3">
                  <c:v>Average R</c:v>
                </c:pt>
                <c:pt idx="4">
                  <c:v>Total R</c:v>
                </c:pt>
                <c:pt idx="5">
                  <c:v>Average Win</c:v>
                </c:pt>
                <c:pt idx="6">
                  <c:v>Average Loss</c:v>
                </c:pt>
                <c:pt idx="7">
                  <c:v>Expectancy</c:v>
                </c:pt>
              </c:strCache>
            </c:strRef>
          </c:cat>
          <c:val>
            <c:numRef>
              <c:f>'Exploratory Data Analysis'!$B$35:$I$35</c:f>
              <c:numCache>
                <c:formatCode>General</c:formatCode>
                <c:ptCount val="8"/>
                <c:pt idx="0">
                  <c:v>30</c:v>
                </c:pt>
                <c:pt idx="1">
                  <c:v>14</c:v>
                </c:pt>
                <c:pt idx="2" formatCode="0.00%">
                  <c:v>0.46666666666666667</c:v>
                </c:pt>
                <c:pt idx="3">
                  <c:v>0.5023333333333333</c:v>
                </c:pt>
                <c:pt idx="4">
                  <c:v>15.07</c:v>
                </c:pt>
                <c:pt idx="5">
                  <c:v>1.9492857142857143</c:v>
                </c:pt>
                <c:pt idx="6">
                  <c:v>-1</c:v>
                </c:pt>
                <c:pt idx="7">
                  <c:v>0.37633333333333341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86-4B19-B83C-814022F25BA2}"/>
            </c:ext>
          </c:extLst>
        </c:ser>
        <c:ser>
          <c:idx val="4"/>
          <c:order val="4"/>
          <c:tx>
            <c:strRef>
              <c:f>'Exploratory Data Analysis'!$A$36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'Exploratory Data Analysis'!$B$31:$I$31</c:f>
              <c:strCache>
                <c:ptCount val="8"/>
                <c:pt idx="0">
                  <c:v>Trades</c:v>
                </c:pt>
                <c:pt idx="1">
                  <c:v>Wins</c:v>
                </c:pt>
                <c:pt idx="2">
                  <c:v>Win Rate</c:v>
                </c:pt>
                <c:pt idx="3">
                  <c:v>Average R</c:v>
                </c:pt>
                <c:pt idx="4">
                  <c:v>Total R</c:v>
                </c:pt>
                <c:pt idx="5">
                  <c:v>Average Win</c:v>
                </c:pt>
                <c:pt idx="6">
                  <c:v>Average Loss</c:v>
                </c:pt>
                <c:pt idx="7">
                  <c:v>Expectancy</c:v>
                </c:pt>
              </c:strCache>
            </c:strRef>
          </c:cat>
          <c:val>
            <c:numRef>
              <c:f>'Exploratory Data Analysis'!$B$36:$I$36</c:f>
              <c:numCache>
                <c:formatCode>General</c:formatCode>
                <c:ptCount val="8"/>
                <c:pt idx="0">
                  <c:v>24</c:v>
                </c:pt>
                <c:pt idx="1">
                  <c:v>7</c:v>
                </c:pt>
                <c:pt idx="2" formatCode="0.00%">
                  <c:v>0.29166666666666669</c:v>
                </c:pt>
                <c:pt idx="3">
                  <c:v>0.20791666666666664</c:v>
                </c:pt>
                <c:pt idx="4">
                  <c:v>4.9899999999999993</c:v>
                </c:pt>
                <c:pt idx="5">
                  <c:v>1.4085714285714286</c:v>
                </c:pt>
                <c:pt idx="6">
                  <c:v>-1</c:v>
                </c:pt>
                <c:pt idx="7">
                  <c:v>-0.29749999999999988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86-4B19-B83C-814022F25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56725039"/>
        <c:axId val="1749442255"/>
      </c:barChart>
      <c:catAx>
        <c:axId val="175672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442255"/>
        <c:crosses val="autoZero"/>
        <c:auto val="1"/>
        <c:lblAlgn val="ctr"/>
        <c:lblOffset val="100"/>
        <c:noMultiLvlLbl val="0"/>
      </c:catAx>
      <c:valAx>
        <c:axId val="174944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7250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'Exploratory Data Analysis'!$A$40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'Exploratory Data Analysis'!$B$39:$I$39</c:f>
              <c:strCache>
                <c:ptCount val="8"/>
                <c:pt idx="0">
                  <c:v>Trades</c:v>
                </c:pt>
                <c:pt idx="1">
                  <c:v>Wins</c:v>
                </c:pt>
                <c:pt idx="2">
                  <c:v>Win Rate</c:v>
                </c:pt>
                <c:pt idx="3">
                  <c:v>Average R</c:v>
                </c:pt>
                <c:pt idx="4">
                  <c:v>Total R</c:v>
                </c:pt>
                <c:pt idx="5">
                  <c:v>Average Win</c:v>
                </c:pt>
                <c:pt idx="6">
                  <c:v>Average Loss</c:v>
                </c:pt>
                <c:pt idx="7">
                  <c:v>Expectancy</c:v>
                </c:pt>
              </c:strCache>
            </c:strRef>
          </c:cat>
          <c:val>
            <c:numRef>
              <c:f>'Exploratory Data Analysis'!$B$40:$I$40</c:f>
              <c:numCache>
                <c:formatCode>General</c:formatCode>
                <c:ptCount val="8"/>
                <c:pt idx="0">
                  <c:v>10</c:v>
                </c:pt>
                <c:pt idx="1">
                  <c:v>4</c:v>
                </c:pt>
                <c:pt idx="2" formatCode="0.00%">
                  <c:v>0.4</c:v>
                </c:pt>
                <c:pt idx="3">
                  <c:v>0.11800000000000002</c:v>
                </c:pt>
                <c:pt idx="4">
                  <c:v>1.1800000000000002</c:v>
                </c:pt>
                <c:pt idx="5">
                  <c:v>1.7949999999999999</c:v>
                </c:pt>
                <c:pt idx="6">
                  <c:v>-1</c:v>
                </c:pt>
                <c:pt idx="7">
                  <c:v>0.11799999999999999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D-47F4-A229-B40A329C7F49}"/>
            </c:ext>
          </c:extLst>
        </c:ser>
        <c:ser>
          <c:idx val="1"/>
          <c:order val="1"/>
          <c:tx>
            <c:strRef>
              <c:f>'Exploratory Data Analysis'!$A$41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'Exploratory Data Analysis'!$B$39:$I$39</c:f>
              <c:strCache>
                <c:ptCount val="8"/>
                <c:pt idx="0">
                  <c:v>Trades</c:v>
                </c:pt>
                <c:pt idx="1">
                  <c:v>Wins</c:v>
                </c:pt>
                <c:pt idx="2">
                  <c:v>Win Rate</c:v>
                </c:pt>
                <c:pt idx="3">
                  <c:v>Average R</c:v>
                </c:pt>
                <c:pt idx="4">
                  <c:v>Total R</c:v>
                </c:pt>
                <c:pt idx="5">
                  <c:v>Average Win</c:v>
                </c:pt>
                <c:pt idx="6">
                  <c:v>Average Loss</c:v>
                </c:pt>
                <c:pt idx="7">
                  <c:v>Expectancy</c:v>
                </c:pt>
              </c:strCache>
            </c:strRef>
          </c:cat>
          <c:val>
            <c:numRef>
              <c:f>'Exploratory Data Analysis'!$B$41:$I$41</c:f>
              <c:numCache>
                <c:formatCode>General</c:formatCode>
                <c:ptCount val="8"/>
                <c:pt idx="0">
                  <c:v>19</c:v>
                </c:pt>
                <c:pt idx="1">
                  <c:v>11</c:v>
                </c:pt>
                <c:pt idx="2" formatCode="0.00%">
                  <c:v>0.57894736842105265</c:v>
                </c:pt>
                <c:pt idx="3">
                  <c:v>0.49526315789473674</c:v>
                </c:pt>
                <c:pt idx="4">
                  <c:v>9.4099999999999984</c:v>
                </c:pt>
                <c:pt idx="5">
                  <c:v>1.5827272727272728</c:v>
                </c:pt>
                <c:pt idx="6">
                  <c:v>-1</c:v>
                </c:pt>
                <c:pt idx="7">
                  <c:v>0.49526315789473696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5D-47F4-A229-B40A329C7F49}"/>
            </c:ext>
          </c:extLst>
        </c:ser>
        <c:ser>
          <c:idx val="2"/>
          <c:order val="2"/>
          <c:tx>
            <c:strRef>
              <c:f>'Exploratory Data Analysis'!$A$42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'Exploratory Data Analysis'!$B$39:$I$39</c:f>
              <c:strCache>
                <c:ptCount val="8"/>
                <c:pt idx="0">
                  <c:v>Trades</c:v>
                </c:pt>
                <c:pt idx="1">
                  <c:v>Wins</c:v>
                </c:pt>
                <c:pt idx="2">
                  <c:v>Win Rate</c:v>
                </c:pt>
                <c:pt idx="3">
                  <c:v>Average R</c:v>
                </c:pt>
                <c:pt idx="4">
                  <c:v>Total R</c:v>
                </c:pt>
                <c:pt idx="5">
                  <c:v>Average Win</c:v>
                </c:pt>
                <c:pt idx="6">
                  <c:v>Average Loss</c:v>
                </c:pt>
                <c:pt idx="7">
                  <c:v>Expectancy</c:v>
                </c:pt>
              </c:strCache>
            </c:strRef>
          </c:cat>
          <c:val>
            <c:numRef>
              <c:f>'Exploratory Data Analysis'!$B$42:$I$42</c:f>
              <c:numCache>
                <c:formatCode>General</c:formatCode>
                <c:ptCount val="8"/>
                <c:pt idx="0">
                  <c:v>15</c:v>
                </c:pt>
                <c:pt idx="1">
                  <c:v>3</c:v>
                </c:pt>
                <c:pt idx="2" formatCode="0.00%">
                  <c:v>0.2</c:v>
                </c:pt>
                <c:pt idx="3">
                  <c:v>-0.5</c:v>
                </c:pt>
                <c:pt idx="4">
                  <c:v>-7.5</c:v>
                </c:pt>
                <c:pt idx="5">
                  <c:v>1.5</c:v>
                </c:pt>
                <c:pt idx="6">
                  <c:v>-1</c:v>
                </c:pt>
                <c:pt idx="7">
                  <c:v>-0.5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5D-47F4-A229-B40A329C7F49}"/>
            </c:ext>
          </c:extLst>
        </c:ser>
        <c:ser>
          <c:idx val="3"/>
          <c:order val="3"/>
          <c:tx>
            <c:strRef>
              <c:f>'Exploratory Data Analysis'!$A$43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'Exploratory Data Analysis'!$B$39:$I$39</c:f>
              <c:strCache>
                <c:ptCount val="8"/>
                <c:pt idx="0">
                  <c:v>Trades</c:v>
                </c:pt>
                <c:pt idx="1">
                  <c:v>Wins</c:v>
                </c:pt>
                <c:pt idx="2">
                  <c:v>Win Rate</c:v>
                </c:pt>
                <c:pt idx="3">
                  <c:v>Average R</c:v>
                </c:pt>
                <c:pt idx="4">
                  <c:v>Total R</c:v>
                </c:pt>
                <c:pt idx="5">
                  <c:v>Average Win</c:v>
                </c:pt>
                <c:pt idx="6">
                  <c:v>Average Loss</c:v>
                </c:pt>
                <c:pt idx="7">
                  <c:v>Expectancy</c:v>
                </c:pt>
              </c:strCache>
            </c:strRef>
          </c:cat>
          <c:val>
            <c:numRef>
              <c:f>'Exploratory Data Analysis'!$B$43:$I$43</c:f>
              <c:numCache>
                <c:formatCode>General</c:formatCode>
                <c:ptCount val="8"/>
                <c:pt idx="0">
                  <c:v>21</c:v>
                </c:pt>
                <c:pt idx="1">
                  <c:v>8</c:v>
                </c:pt>
                <c:pt idx="2" formatCode="0.00%">
                  <c:v>0.38095238095238093</c:v>
                </c:pt>
                <c:pt idx="3">
                  <c:v>0.2247619047619048</c:v>
                </c:pt>
                <c:pt idx="4">
                  <c:v>4.7200000000000006</c:v>
                </c:pt>
                <c:pt idx="5">
                  <c:v>1.7650000000000001</c:v>
                </c:pt>
                <c:pt idx="6">
                  <c:v>-0.83333333333333337</c:v>
                </c:pt>
                <c:pt idx="7">
                  <c:v>0.15650793650793648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5D-47F4-A229-B40A329C7F49}"/>
            </c:ext>
          </c:extLst>
        </c:ser>
        <c:ser>
          <c:idx val="4"/>
          <c:order val="4"/>
          <c:tx>
            <c:strRef>
              <c:f>'Exploratory Data Analysis'!$A$44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'Exploratory Data Analysis'!$B$39:$I$39</c:f>
              <c:strCache>
                <c:ptCount val="8"/>
                <c:pt idx="0">
                  <c:v>Trades</c:v>
                </c:pt>
                <c:pt idx="1">
                  <c:v>Wins</c:v>
                </c:pt>
                <c:pt idx="2">
                  <c:v>Win Rate</c:v>
                </c:pt>
                <c:pt idx="3">
                  <c:v>Average R</c:v>
                </c:pt>
                <c:pt idx="4">
                  <c:v>Total R</c:v>
                </c:pt>
                <c:pt idx="5">
                  <c:v>Average Win</c:v>
                </c:pt>
                <c:pt idx="6">
                  <c:v>Average Loss</c:v>
                </c:pt>
                <c:pt idx="7">
                  <c:v>Expectancy</c:v>
                </c:pt>
              </c:strCache>
            </c:strRef>
          </c:cat>
          <c:val>
            <c:numRef>
              <c:f>'Exploratory Data Analysis'!$B$44:$I$44</c:f>
              <c:numCache>
                <c:formatCode>General</c:formatCode>
                <c:ptCount val="8"/>
                <c:pt idx="0">
                  <c:v>26</c:v>
                </c:pt>
                <c:pt idx="1">
                  <c:v>8</c:v>
                </c:pt>
                <c:pt idx="2" formatCode="0.00%">
                  <c:v>0.30769230769230771</c:v>
                </c:pt>
                <c:pt idx="3">
                  <c:v>0.26961538461538459</c:v>
                </c:pt>
                <c:pt idx="4">
                  <c:v>7.01</c:v>
                </c:pt>
                <c:pt idx="5">
                  <c:v>2.34375</c:v>
                </c:pt>
                <c:pt idx="6">
                  <c:v>-1</c:v>
                </c:pt>
                <c:pt idx="7">
                  <c:v>2.8846153846153855E-2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5D-47F4-A229-B40A329C7F49}"/>
            </c:ext>
          </c:extLst>
        </c:ser>
        <c:ser>
          <c:idx val="5"/>
          <c:order val="5"/>
          <c:tx>
            <c:strRef>
              <c:f>'Exploratory Data Analysis'!$A$45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'Exploratory Data Analysis'!$B$39:$I$39</c:f>
              <c:strCache>
                <c:ptCount val="8"/>
                <c:pt idx="0">
                  <c:v>Trades</c:v>
                </c:pt>
                <c:pt idx="1">
                  <c:v>Wins</c:v>
                </c:pt>
                <c:pt idx="2">
                  <c:v>Win Rate</c:v>
                </c:pt>
                <c:pt idx="3">
                  <c:v>Average R</c:v>
                </c:pt>
                <c:pt idx="4">
                  <c:v>Total R</c:v>
                </c:pt>
                <c:pt idx="5">
                  <c:v>Average Win</c:v>
                </c:pt>
                <c:pt idx="6">
                  <c:v>Average Loss</c:v>
                </c:pt>
                <c:pt idx="7">
                  <c:v>Expectancy</c:v>
                </c:pt>
              </c:strCache>
            </c:strRef>
          </c:cat>
          <c:val>
            <c:numRef>
              <c:f>'Exploratory Data Analysis'!$B$45:$I$45</c:f>
              <c:numCache>
                <c:formatCode>General</c:formatCode>
                <c:ptCount val="8"/>
                <c:pt idx="0">
                  <c:v>19</c:v>
                </c:pt>
                <c:pt idx="1">
                  <c:v>5</c:v>
                </c:pt>
                <c:pt idx="2" formatCode="0.00%">
                  <c:v>0.26315789473684209</c:v>
                </c:pt>
                <c:pt idx="3">
                  <c:v>0.22000000000000003</c:v>
                </c:pt>
                <c:pt idx="4">
                  <c:v>4.1800000000000006</c:v>
                </c:pt>
                <c:pt idx="5">
                  <c:v>2.95</c:v>
                </c:pt>
                <c:pt idx="6">
                  <c:v>-1</c:v>
                </c:pt>
                <c:pt idx="7">
                  <c:v>3.9473684210526216E-2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5D-47F4-A229-B40A329C7F49}"/>
            </c:ext>
          </c:extLst>
        </c:ser>
        <c:ser>
          <c:idx val="6"/>
          <c:order val="6"/>
          <c:tx>
            <c:strRef>
              <c:f>'Exploratory Data Analysis'!$A$46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'Exploratory Data Analysis'!$B$39:$I$39</c:f>
              <c:strCache>
                <c:ptCount val="8"/>
                <c:pt idx="0">
                  <c:v>Trades</c:v>
                </c:pt>
                <c:pt idx="1">
                  <c:v>Wins</c:v>
                </c:pt>
                <c:pt idx="2">
                  <c:v>Win Rate</c:v>
                </c:pt>
                <c:pt idx="3">
                  <c:v>Average R</c:v>
                </c:pt>
                <c:pt idx="4">
                  <c:v>Total R</c:v>
                </c:pt>
                <c:pt idx="5">
                  <c:v>Average Win</c:v>
                </c:pt>
                <c:pt idx="6">
                  <c:v>Average Loss</c:v>
                </c:pt>
                <c:pt idx="7">
                  <c:v>Expectancy</c:v>
                </c:pt>
              </c:strCache>
            </c:strRef>
          </c:cat>
          <c:val>
            <c:numRef>
              <c:f>'Exploratory Data Analysis'!$B$46:$I$46</c:f>
              <c:numCache>
                <c:formatCode>General</c:formatCode>
                <c:ptCount val="8"/>
                <c:pt idx="0">
                  <c:v>9</c:v>
                </c:pt>
                <c:pt idx="1">
                  <c:v>3</c:v>
                </c:pt>
                <c:pt idx="2" formatCode="0.00%">
                  <c:v>0.33333333333333331</c:v>
                </c:pt>
                <c:pt idx="3">
                  <c:v>-9.4444444444444456E-2</c:v>
                </c:pt>
                <c:pt idx="4">
                  <c:v>-0.85000000000000009</c:v>
                </c:pt>
                <c:pt idx="5">
                  <c:v>1.7166666666666668</c:v>
                </c:pt>
                <c:pt idx="6">
                  <c:v>-1</c:v>
                </c:pt>
                <c:pt idx="7">
                  <c:v>-9.4444444444444553E-2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5D-47F4-A229-B40A329C7F49}"/>
            </c:ext>
          </c:extLst>
        </c:ser>
        <c:ser>
          <c:idx val="7"/>
          <c:order val="7"/>
          <c:tx>
            <c:strRef>
              <c:f>'Exploratory Data Analysis'!$A$47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'Exploratory Data Analysis'!$B$39:$I$39</c:f>
              <c:strCache>
                <c:ptCount val="8"/>
                <c:pt idx="0">
                  <c:v>Trades</c:v>
                </c:pt>
                <c:pt idx="1">
                  <c:v>Wins</c:v>
                </c:pt>
                <c:pt idx="2">
                  <c:v>Win Rate</c:v>
                </c:pt>
                <c:pt idx="3">
                  <c:v>Average R</c:v>
                </c:pt>
                <c:pt idx="4">
                  <c:v>Total R</c:v>
                </c:pt>
                <c:pt idx="5">
                  <c:v>Average Win</c:v>
                </c:pt>
                <c:pt idx="6">
                  <c:v>Average Loss</c:v>
                </c:pt>
                <c:pt idx="7">
                  <c:v>Expectancy</c:v>
                </c:pt>
              </c:strCache>
            </c:strRef>
          </c:cat>
          <c:val>
            <c:numRef>
              <c:f>'Exploratory Data Analysis'!$B$47:$I$47</c:f>
              <c:numCache>
                <c:formatCode>General</c:formatCode>
                <c:ptCount val="8"/>
                <c:pt idx="0">
                  <c:v>14</c:v>
                </c:pt>
                <c:pt idx="1">
                  <c:v>9</c:v>
                </c:pt>
                <c:pt idx="2" formatCode="0.00%">
                  <c:v>0.6428571428571429</c:v>
                </c:pt>
                <c:pt idx="3">
                  <c:v>1.1435714285714285</c:v>
                </c:pt>
                <c:pt idx="4">
                  <c:v>16.009999999999998</c:v>
                </c:pt>
                <c:pt idx="5">
                  <c:v>2.1888888888888887</c:v>
                </c:pt>
                <c:pt idx="6">
                  <c:v>-1</c:v>
                </c:pt>
                <c:pt idx="7">
                  <c:v>1.0499999999999998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C5D-47F4-A229-B40A329C7F49}"/>
            </c:ext>
          </c:extLst>
        </c:ser>
        <c:ser>
          <c:idx val="8"/>
          <c:order val="8"/>
          <c:tx>
            <c:strRef>
              <c:f>'Exploratory Data Analysis'!$A$48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'Exploratory Data Analysis'!$B$39:$I$39</c:f>
              <c:strCache>
                <c:ptCount val="8"/>
                <c:pt idx="0">
                  <c:v>Trades</c:v>
                </c:pt>
                <c:pt idx="1">
                  <c:v>Wins</c:v>
                </c:pt>
                <c:pt idx="2">
                  <c:v>Win Rate</c:v>
                </c:pt>
                <c:pt idx="3">
                  <c:v>Average R</c:v>
                </c:pt>
                <c:pt idx="4">
                  <c:v>Total R</c:v>
                </c:pt>
                <c:pt idx="5">
                  <c:v>Average Win</c:v>
                </c:pt>
                <c:pt idx="6">
                  <c:v>Average Loss</c:v>
                </c:pt>
                <c:pt idx="7">
                  <c:v>Expectancy</c:v>
                </c:pt>
              </c:strCache>
            </c:strRef>
          </c:cat>
          <c:val>
            <c:numRef>
              <c:f>'Exploratory Data Analysis'!$B$48:$I$48</c:f>
              <c:numCache>
                <c:formatCode>General</c:formatCode>
                <c:ptCount val="8"/>
                <c:pt idx="0">
                  <c:v>5</c:v>
                </c:pt>
                <c:pt idx="1">
                  <c:v>4</c:v>
                </c:pt>
                <c:pt idx="2" formatCode="0.00%">
                  <c:v>0.8</c:v>
                </c:pt>
                <c:pt idx="3">
                  <c:v>3.496</c:v>
                </c:pt>
                <c:pt idx="4">
                  <c:v>17.48</c:v>
                </c:pt>
                <c:pt idx="5">
                  <c:v>4.62</c:v>
                </c:pt>
                <c:pt idx="6">
                  <c:v>-1</c:v>
                </c:pt>
                <c:pt idx="7">
                  <c:v>3.4960000000000004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C5D-47F4-A229-B40A329C7F49}"/>
            </c:ext>
          </c:extLst>
        </c:ser>
        <c:ser>
          <c:idx val="9"/>
          <c:order val="9"/>
          <c:tx>
            <c:strRef>
              <c:f>'Exploratory Data Analysis'!$A$49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'Exploratory Data Analysis'!$B$39:$I$39</c:f>
              <c:strCache>
                <c:ptCount val="8"/>
                <c:pt idx="0">
                  <c:v>Trades</c:v>
                </c:pt>
                <c:pt idx="1">
                  <c:v>Wins</c:v>
                </c:pt>
                <c:pt idx="2">
                  <c:v>Win Rate</c:v>
                </c:pt>
                <c:pt idx="3">
                  <c:v>Average R</c:v>
                </c:pt>
                <c:pt idx="4">
                  <c:v>Total R</c:v>
                </c:pt>
                <c:pt idx="5">
                  <c:v>Average Win</c:v>
                </c:pt>
                <c:pt idx="6">
                  <c:v>Average Loss</c:v>
                </c:pt>
                <c:pt idx="7">
                  <c:v>Expectancy</c:v>
                </c:pt>
              </c:strCache>
            </c:strRef>
          </c:cat>
          <c:val>
            <c:numRef>
              <c:f>'Exploratory Data Analysis'!$B$49:$I$49</c:f>
              <c:numCache>
                <c:formatCode>General</c:formatCode>
                <c:ptCount val="8"/>
                <c:pt idx="0">
                  <c:v>12</c:v>
                </c:pt>
                <c:pt idx="1">
                  <c:v>4</c:v>
                </c:pt>
                <c:pt idx="2" formatCode="0.00%">
                  <c:v>0.33333333333333331</c:v>
                </c:pt>
                <c:pt idx="3">
                  <c:v>0.20833333333333334</c:v>
                </c:pt>
                <c:pt idx="4">
                  <c:v>2.5</c:v>
                </c:pt>
                <c:pt idx="5">
                  <c:v>2.2400000000000002</c:v>
                </c:pt>
                <c:pt idx="6">
                  <c:v>-1</c:v>
                </c:pt>
                <c:pt idx="7">
                  <c:v>7.999999999999996E-2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C5D-47F4-A229-B40A329C7F49}"/>
            </c:ext>
          </c:extLst>
        </c:ser>
        <c:ser>
          <c:idx val="10"/>
          <c:order val="10"/>
          <c:tx>
            <c:strRef>
              <c:f>'Exploratory Data Analysis'!$A$50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'Exploratory Data Analysis'!$B$39:$I$39</c:f>
              <c:strCache>
                <c:ptCount val="8"/>
                <c:pt idx="0">
                  <c:v>Trades</c:v>
                </c:pt>
                <c:pt idx="1">
                  <c:v>Wins</c:v>
                </c:pt>
                <c:pt idx="2">
                  <c:v>Win Rate</c:v>
                </c:pt>
                <c:pt idx="3">
                  <c:v>Average R</c:v>
                </c:pt>
                <c:pt idx="4">
                  <c:v>Total R</c:v>
                </c:pt>
                <c:pt idx="5">
                  <c:v>Average Win</c:v>
                </c:pt>
                <c:pt idx="6">
                  <c:v>Average Loss</c:v>
                </c:pt>
                <c:pt idx="7">
                  <c:v>Expectancy</c:v>
                </c:pt>
              </c:strCache>
            </c:strRef>
          </c:cat>
          <c:val>
            <c:numRef>
              <c:f>'Exploratory Data Analysis'!$B$50:$I$50</c:f>
              <c:numCache>
                <c:formatCode>General</c:formatCode>
                <c:ptCount val="8"/>
                <c:pt idx="0">
                  <c:v>10</c:v>
                </c:pt>
                <c:pt idx="1">
                  <c:v>3</c:v>
                </c:pt>
                <c:pt idx="2" formatCode="0.00%">
                  <c:v>0.3</c:v>
                </c:pt>
                <c:pt idx="3">
                  <c:v>0.45300000000000001</c:v>
                </c:pt>
                <c:pt idx="4">
                  <c:v>4.53</c:v>
                </c:pt>
                <c:pt idx="5">
                  <c:v>2.39</c:v>
                </c:pt>
                <c:pt idx="6">
                  <c:v>-1</c:v>
                </c:pt>
                <c:pt idx="7">
                  <c:v>1.7000000000000015E-2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C5D-47F4-A229-B40A329C7F49}"/>
            </c:ext>
          </c:extLst>
        </c:ser>
        <c:ser>
          <c:idx val="11"/>
          <c:order val="11"/>
          <c:tx>
            <c:strRef>
              <c:f>'Exploratory Data Analysis'!$A$51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'Exploratory Data Analysis'!$B$39:$I$39</c:f>
              <c:strCache>
                <c:ptCount val="8"/>
                <c:pt idx="0">
                  <c:v>Trades</c:v>
                </c:pt>
                <c:pt idx="1">
                  <c:v>Wins</c:v>
                </c:pt>
                <c:pt idx="2">
                  <c:v>Win Rate</c:v>
                </c:pt>
                <c:pt idx="3">
                  <c:v>Average R</c:v>
                </c:pt>
                <c:pt idx="4">
                  <c:v>Total R</c:v>
                </c:pt>
                <c:pt idx="5">
                  <c:v>Average Win</c:v>
                </c:pt>
                <c:pt idx="6">
                  <c:v>Average Loss</c:v>
                </c:pt>
                <c:pt idx="7">
                  <c:v>Expectancy</c:v>
                </c:pt>
              </c:strCache>
            </c:strRef>
          </c:cat>
          <c:val>
            <c:numRef>
              <c:f>'Exploratory Data Analysis'!$B$51:$I$51</c:f>
              <c:numCache>
                <c:formatCode>General</c:formatCode>
                <c:ptCount val="8"/>
                <c:pt idx="0">
                  <c:v>8</c:v>
                </c:pt>
                <c:pt idx="1">
                  <c:v>2</c:v>
                </c:pt>
                <c:pt idx="2" formatCode="0.00%">
                  <c:v>0.25</c:v>
                </c:pt>
                <c:pt idx="3">
                  <c:v>0.32874999999999999</c:v>
                </c:pt>
                <c:pt idx="4">
                  <c:v>2.63</c:v>
                </c:pt>
                <c:pt idx="5">
                  <c:v>3.98</c:v>
                </c:pt>
                <c:pt idx="6">
                  <c:v>-1</c:v>
                </c:pt>
                <c:pt idx="7">
                  <c:v>0.245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C5D-47F4-A229-B40A329C7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6679103"/>
        <c:axId val="1749410095"/>
      </c:barChart>
      <c:catAx>
        <c:axId val="175667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410095"/>
        <c:crosses val="autoZero"/>
        <c:auto val="1"/>
        <c:lblAlgn val="ctr"/>
        <c:lblOffset val="100"/>
        <c:noMultiLvlLbl val="0"/>
      </c:catAx>
      <c:valAx>
        <c:axId val="174941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6791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54</xdr:row>
      <xdr:rowOff>4762</xdr:rowOff>
    </xdr:from>
    <xdr:to>
      <xdr:col>9</xdr:col>
      <xdr:colOff>0</xdr:colOff>
      <xdr:row>73</xdr:row>
      <xdr:rowOff>180976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3009FE-F37D-4C31-462D-0C9746F35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76</xdr:row>
      <xdr:rowOff>14286</xdr:rowOff>
    </xdr:from>
    <xdr:to>
      <xdr:col>8</xdr:col>
      <xdr:colOff>866774</xdr:colOff>
      <xdr:row>95</xdr:row>
      <xdr:rowOff>190499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22D93C-73E0-25E6-987A-59ABEE868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98</xdr:row>
      <xdr:rowOff>9525</xdr:rowOff>
    </xdr:from>
    <xdr:to>
      <xdr:col>8</xdr:col>
      <xdr:colOff>866774</xdr:colOff>
      <xdr:row>117</xdr:row>
      <xdr:rowOff>180974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3BC65A-6E3F-90CE-1E85-59FC604FA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120</xdr:row>
      <xdr:rowOff>4762</xdr:rowOff>
    </xdr:from>
    <xdr:to>
      <xdr:col>8</xdr:col>
      <xdr:colOff>866774</xdr:colOff>
      <xdr:row>139</xdr:row>
      <xdr:rowOff>180976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4243BF5-1C14-D07F-A470-5E3C393FB7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142</xdr:row>
      <xdr:rowOff>14287</xdr:rowOff>
    </xdr:from>
    <xdr:to>
      <xdr:col>8</xdr:col>
      <xdr:colOff>866774</xdr:colOff>
      <xdr:row>161</xdr:row>
      <xdr:rowOff>180975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1946BA2-1023-A898-912F-F7645FFBEF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164</xdr:row>
      <xdr:rowOff>14286</xdr:rowOff>
    </xdr:from>
    <xdr:to>
      <xdr:col>9</xdr:col>
      <xdr:colOff>0</xdr:colOff>
      <xdr:row>203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F2B4256-A792-CA42-1026-DC404E792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A46A3A-8AA7-401E-B14F-A8E138C8BC84}" autoFormatId="16" applyNumberFormats="0" applyBorderFormats="0" applyFontFormats="0" applyPatternFormats="0" applyAlignmentFormats="0" applyWidthHeightFormats="0">
  <queryTableRefresh nextId="21" unboundColumnsRight="5">
    <queryTableFields count="20">
      <queryTableField id="1" name="Trade Number" tableColumnId="1"/>
      <queryTableField id="16" name="Cleaned_Date" tableColumnId="2"/>
      <queryTableField id="3" name="Session" tableColumnId="3"/>
      <queryTableField id="4" name="Time of Entry" tableColumnId="4"/>
      <queryTableField id="5" name="Direction" tableColumnId="5"/>
      <queryTableField id="6" name="HTF FVG Timeframe" tableColumnId="6"/>
      <queryTableField id="7" name="OTE Low" tableColumnId="7"/>
      <queryTableField id="8" name="Entry Price" tableColumnId="8"/>
      <queryTableField id="9" name="Take Profit Price" tableColumnId="9"/>
      <queryTableField id="10" name="Stop Loss Price" tableColumnId="10"/>
      <queryTableField id="11" name="Risk %" tableColumnId="11"/>
      <queryTableField id="12" name="Potential RR" tableColumnId="12"/>
      <queryTableField id="13" name="Result RR" tableColumnId="13"/>
      <queryTableField id="14" name="Outcome" tableColumnId="14"/>
      <queryTableField id="15" name="News" tableColumnId="15"/>
      <queryTableField id="2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</queryTableFields>
    <queryTableDeletedFields count="1">
      <deletedField name="D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067FF2-13BF-4810-84E3-B01E59711F64}" name="TradingData" displayName="TradingData" ref="A1:T169" tableType="queryTable" totalsRowShown="0">
  <autoFilter ref="A1:T169" xr:uid="{82067FF2-13BF-4810-84E3-B01E59711F64}"/>
  <tableColumns count="20">
    <tableColumn id="1" xr3:uid="{464A5E30-5B5E-449E-98AF-4E22507688CE}" uniqueName="1" name="Trade Number" queryTableFieldId="1"/>
    <tableColumn id="2" xr3:uid="{BE1D273E-CDFC-4E60-8F5E-34EFA5E98183}" uniqueName="2" name="Cleaned_Date" queryTableFieldId="16" dataDxfId="27"/>
    <tableColumn id="3" xr3:uid="{EEBDBF37-11AF-4C44-B8AC-6EBEDE7E2160}" uniqueName="3" name="Session" queryTableFieldId="3" dataDxfId="26"/>
    <tableColumn id="4" xr3:uid="{FEA95977-0A65-4297-AEF0-8426AF049E09}" uniqueName="4" name="Time of Entry" queryTableFieldId="4" dataDxfId="25"/>
    <tableColumn id="5" xr3:uid="{127067F1-CBB6-47BB-A257-F49EA4E20B86}" uniqueName="5" name="Direction" queryTableFieldId="5" dataDxfId="24"/>
    <tableColumn id="6" xr3:uid="{07052C37-B1D2-4696-B239-D5D8D62B49B9}" uniqueName="6" name="HTF FVG Timeframe" queryTableFieldId="6" dataDxfId="23"/>
    <tableColumn id="7" xr3:uid="{A1B8905B-83BA-4E6F-88F7-38D743A4D50E}" uniqueName="7" name="OTE Low" queryTableFieldId="7" dataDxfId="22"/>
    <tableColumn id="8" xr3:uid="{F0DA44F7-2147-43FA-ACF9-500D93CBAD16}" uniqueName="8" name="Entry Price" queryTableFieldId="8"/>
    <tableColumn id="9" xr3:uid="{D76EB94E-8982-47F4-8D69-89EBBE322DBF}" uniqueName="9" name="Take Profit Price" queryTableFieldId="9"/>
    <tableColumn id="10" xr3:uid="{F5DCFAED-79B2-4E89-94CA-A6F8D2537AF4}" uniqueName="10" name="Stop Loss Price" queryTableFieldId="10"/>
    <tableColumn id="11" xr3:uid="{2E42971F-347B-46A0-B5E9-D817619275DF}" uniqueName="11" name="Risk %" queryTableFieldId="11"/>
    <tableColumn id="12" xr3:uid="{B7AD96CF-E1BD-4333-B236-7F06D49B6E81}" uniqueName="12" name="Potential RR" queryTableFieldId="12"/>
    <tableColumn id="13" xr3:uid="{AABC756C-9D8A-4F79-8A3E-D0F614B2E74B}" uniqueName="13" name="Result RR" queryTableFieldId="13"/>
    <tableColumn id="14" xr3:uid="{8D1B0975-B08C-4EE8-A3E0-724549DE4491}" uniqueName="14" name="Outcome" queryTableFieldId="14" dataDxfId="21"/>
    <tableColumn id="15" xr3:uid="{EE80E1EE-4125-4D7F-A564-D7C3E6DBB9B3}" uniqueName="15" name="News" queryTableFieldId="15" dataDxfId="20"/>
    <tableColumn id="16" xr3:uid="{CC1C5A50-2380-4443-8062-7C048F5BA4AC}" uniqueName="16" name="Cumulative R" queryTableFieldId="2" dataDxfId="19">
      <calculatedColumnFormula>SUM($M$2:M2)</calculatedColumnFormula>
    </tableColumn>
    <tableColumn id="17" xr3:uid="{91F0CB8C-6FC1-4942-AF86-D573289DD3B8}" uniqueName="17" name="Peak Equity" queryTableFieldId="17" dataDxfId="18">
      <calculatedColumnFormula>MAX(Q1,P2)</calculatedColumnFormula>
    </tableColumn>
    <tableColumn id="18" xr3:uid="{1F2881FE-7E7D-410A-98B6-04B81129784D}" uniqueName="18" name="Drawdown" queryTableFieldId="18" dataDxfId="17">
      <calculatedColumnFormula>P2-Q2</calculatedColumnFormula>
    </tableColumn>
    <tableColumn id="19" xr3:uid="{47F64B0A-8BB9-47C1-9452-2955E1B50054}" uniqueName="19" name="Weekday" queryTableFieldId="19" dataDxfId="16"/>
    <tableColumn id="20" xr3:uid="{C8083D5A-DFCD-4B2E-9C24-776601D2BDA9}" uniqueName="20" name="Month" queryTableFieldId="20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89939C-71D9-4DFE-89AB-B10ED925FF81}" name="Table2" displayName="Table2" ref="A15:B18" totalsRowShown="0" headerRowDxfId="14">
  <autoFilter ref="A15:B18" xr:uid="{3C89939C-71D9-4DFE-89AB-B10ED925FF81}"/>
  <tableColumns count="2">
    <tableColumn id="1" xr3:uid="{41BD9B70-60D6-4E07-B31F-B01E527411B4}" name="Risk Metrics"/>
    <tableColumn id="2" xr3:uid="{E94AC597-F512-40F2-9B41-5CB25F513515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C47E34-5B48-4550-AF2B-2BED3D9B23A2}" name="Table3" displayName="Table3" ref="A7:B13" totalsRowShown="0" headerRowDxfId="13">
  <autoFilter ref="A7:B13" xr:uid="{16C47E34-5B48-4550-AF2B-2BED3D9B23A2}"/>
  <tableColumns count="2">
    <tableColumn id="1" xr3:uid="{DEC8EB2D-31E0-47D9-B279-4F7BD7212758}" name="Profitability Metrics"/>
    <tableColumn id="2" xr3:uid="{938E9F2B-72BF-4000-95A7-BCF05867FAA9}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CFD6DA-812F-442F-9095-AB3698A2A88B}" name="Table4" displayName="Table4" ref="A1:B5" totalsRowShown="0" headerRowDxfId="12">
  <autoFilter ref="A1:B5" xr:uid="{7DCFD6DA-812F-442F-9095-AB3698A2A88B}"/>
  <tableColumns count="2">
    <tableColumn id="1" xr3:uid="{D92B9EDC-F1B1-41E9-8147-0983EE51C2D4}" name="Basic Metrics"/>
    <tableColumn id="2" xr3:uid="{994F6FF1-CD65-4937-9C9C-A85C0A2178D0}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8B15CAB-DB0C-4686-9054-DDB7E772D93C}" name="Table57" displayName="Table57" ref="A3:I5" totalsRowShown="0">
  <autoFilter ref="A3:I5" xr:uid="{98B15CAB-DB0C-4686-9054-DDB7E772D93C}"/>
  <tableColumns count="9">
    <tableColumn id="1" xr3:uid="{26507992-E3F0-448D-BCD5-CED9088C11E5}" name="Direction"/>
    <tableColumn id="2" xr3:uid="{C84EC6B4-5A6F-4BB6-A3C3-94DE790A75D6}" name="Trades" dataDxfId="40">
      <calculatedColumnFormula>COUNTIF(TradingData[Direction],"Short")</calculatedColumnFormula>
    </tableColumn>
    <tableColumn id="3" xr3:uid="{140DDD98-3CBD-4D0F-900A-1CD7CAD73D77}" name="Wins"/>
    <tableColumn id="4" xr3:uid="{157144A0-5198-4536-A87B-2A6841D28F21}" name="Win Rate" dataDxfId="39">
      <calculatedColumnFormula>C4/B4</calculatedColumnFormula>
    </tableColumn>
    <tableColumn id="5" xr3:uid="{B8D8DD50-A67C-4A16-AAE5-7B306930C989}" name="Average R" dataDxfId="38">
      <calculatedColumnFormula>AVERAGEIFS(TradingData[Result RR],TradingData[Direction],"Long")</calculatedColumnFormula>
    </tableColumn>
    <tableColumn id="6" xr3:uid="{D20E3F1A-E6FC-41FF-9583-FE14BA87C9A6}" name="Total R"/>
    <tableColumn id="7" xr3:uid="{9F7FEAFF-3142-4CE7-B937-C0473CD5E7B3}" name="Average Win" dataDxfId="37"/>
    <tableColumn id="8" xr3:uid="{9E5D541C-732C-417F-BD46-AB5EDEE92ED0}" name="Average Loss" dataDxfId="36">
      <calculatedColumnFormula array="1">AVERAGE(IF((TradingData[Outcome]="Loss")+(TradingData[Outcome]="Exit"), IF(TradingData[Direction]="Long", TradingData[Result RR])))</calculatedColumnFormula>
    </tableColumn>
    <tableColumn id="9" xr3:uid="{BE17AF47-27F8-451A-9534-F9270A599740}" name="Expectancy" dataDxfId="35">
      <calculatedColumnFormula xml:space="preserve"> (D4*G4)+((1-D4)*H4)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8CA72D-B101-47D8-BAD4-05B2139399C2}" name="Table578" displayName="Table578" ref="A8:I10" totalsRowShown="0">
  <autoFilter ref="A8:I10" xr:uid="{6C8CA72D-B101-47D8-BAD4-05B2139399C2}"/>
  <tableColumns count="9">
    <tableColumn id="1" xr3:uid="{DCDEFC04-A65F-4F7D-8983-317AD1D70EDF}" name="Timeframe"/>
    <tableColumn id="2" xr3:uid="{F434C8CC-3F1F-4E81-990E-33FD7E151281}" name="Trades" dataDxfId="34"/>
    <tableColumn id="3" xr3:uid="{736A37F2-8A3D-424B-BE7B-20B0109DCAA8}" name="Wins"/>
    <tableColumn id="4" xr3:uid="{2CF22D2E-CDEF-4858-8D86-385B418A9007}" name="Win Rate" dataDxfId="10">
      <calculatedColumnFormula>C9/B9</calculatedColumnFormula>
    </tableColumn>
    <tableColumn id="5" xr3:uid="{E4EE7901-D19E-44D1-8F46-DDFFFFF3CB5D}" name="Average R" dataDxfId="11"/>
    <tableColumn id="6" xr3:uid="{7C4F3590-DE86-40BA-8545-17562AC68D6F}" name="Total R"/>
    <tableColumn id="7" xr3:uid="{10D6EEAF-6A77-4CEF-A5CE-D7B3A1A74740}" name="Average Win" dataDxfId="33"/>
    <tableColumn id="8" xr3:uid="{378A92BC-1A03-4C2F-92C8-1E65E2750B6A}" name="Average Loss" dataDxfId="32"/>
    <tableColumn id="9" xr3:uid="{5C5F39DA-E10C-4B53-8140-DA6D85D5E351}" name="Expectancy" dataDxfId="31">
      <calculatedColumnFormula xml:space="preserve"> (D9*G9)+((1-D9)*H9)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2DAB1E6-5BEB-4338-8ABF-FB5B8F39C378}" name="Table9" displayName="Table9" ref="A13:I19" totalsRowShown="0">
  <autoFilter ref="A13:I19" xr:uid="{E2DAB1E6-5BEB-4338-8ABF-FB5B8F39C378}"/>
  <tableColumns count="9">
    <tableColumn id="1" xr3:uid="{C63C24CE-A174-4DFA-B467-42FA6F1DDC43}" name="OTE Low"/>
    <tableColumn id="2" xr3:uid="{D02BDB81-9013-47B8-A87A-757CCEA480CE}" name="Trades"/>
    <tableColumn id="3" xr3:uid="{4BE2487C-25E2-497B-BB5B-123AAF2B2B58}" name="Wins"/>
    <tableColumn id="4" xr3:uid="{F4CB0E32-E6DF-4507-AF4C-56C7F1C4F91D}" name="Win Rate" dataDxfId="9"/>
    <tableColumn id="5" xr3:uid="{F639821E-6D6E-4BD4-9A74-C1E5279199B8}" name="Average R"/>
    <tableColumn id="6" xr3:uid="{DEB7A085-101B-4D81-92C5-E72A4355E830}" name="Total R"/>
    <tableColumn id="7" xr3:uid="{EDA0A565-3495-46E1-AFA1-B69C65362023}" name="Average Win"/>
    <tableColumn id="8" xr3:uid="{972D99E4-AD47-442A-8589-AADBC9342F85}" name="Average Loss"/>
    <tableColumn id="9" xr3:uid="{547DF7E0-8B44-4F4E-B0A8-EF9961DD807A}" name="Expectancy">
      <calculatedColumnFormula xml:space="preserve"> (D14*G14)+((1-D14)*H14)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2C80C1E-D958-4886-B1D8-D79AAC8FB15D}" name="Table10" displayName="Table10" ref="A22:I24" totalsRowShown="0">
  <autoFilter ref="A22:I24" xr:uid="{C2C80C1E-D958-4886-B1D8-D79AAC8FB15D}"/>
  <tableColumns count="9">
    <tableColumn id="1" xr3:uid="{74527FC3-4635-4508-A208-5083A889B810}" name="News"/>
    <tableColumn id="2" xr3:uid="{B1F7F833-578A-4B07-9B57-C3F6DB0705A5}" name="Trades"/>
    <tableColumn id="3" xr3:uid="{A34392B4-B6C4-4658-8225-BA4AF1AC2379}" name="Wins"/>
    <tableColumn id="4" xr3:uid="{70DA4336-D4F3-4A40-9FBF-198B2E6E310C}" name="Win Rate" dataDxfId="8">
      <calculatedColumnFormula>C23/B23</calculatedColumnFormula>
    </tableColumn>
    <tableColumn id="5" xr3:uid="{C7EE5972-6722-4335-8317-0778A6FC9017}" name="Average R"/>
    <tableColumn id="6" xr3:uid="{CB944870-A5B0-4407-8FC8-67DCFB5D7D41}" name="Total R"/>
    <tableColumn id="7" xr3:uid="{ADBF3AC5-6790-452F-BC49-D4CD26EE44B1}" name="Average Win"/>
    <tableColumn id="8" xr3:uid="{7838A1BA-9732-4FEE-96C9-27625C84D2CD}" name="Average Loss"/>
    <tableColumn id="9" xr3:uid="{DA5C2250-1919-4265-A794-9AE353324D23}" name="Expectancy">
      <calculatedColumnFormula xml:space="preserve"> (D23*G23)+((1-D23)*H23)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870AF06-DA05-4C17-A227-6E17D06C0343}" name="Table11" displayName="Table11" ref="A27:I28" totalsRowShown="0">
  <autoFilter ref="A27:I28" xr:uid="{D870AF06-DA05-4C17-A227-6E17D06C0343}"/>
  <tableColumns count="9">
    <tableColumn id="1" xr3:uid="{90D6223B-07E6-4CCE-9F81-43D67005FEDD}" name="Session"/>
    <tableColumn id="2" xr3:uid="{311F83D3-D4F8-49D2-A188-D54E8477C548}" name="Trades">
      <calculatedColumnFormula>COUNTIF(TradingData[Session], "New York")</calculatedColumnFormula>
    </tableColumn>
    <tableColumn id="3" xr3:uid="{04A130C5-E90C-4851-BBEB-206A5BCFE83D}" name="Wins">
      <calculatedColumnFormula>COUNTIFS(TradingData[Session], "New York", TradingData[Outcome], "Win")</calculatedColumnFormula>
    </tableColumn>
    <tableColumn id="4" xr3:uid="{33DE5F32-BBDD-4497-A42B-DD7EF957C7FF}" name="Win Rate" dataDxfId="7">
      <calculatedColumnFormula>C28/B28</calculatedColumnFormula>
    </tableColumn>
    <tableColumn id="5" xr3:uid="{00BE4DC3-F04C-450D-B3F4-35814EB1D99C}" name="Average R">
      <calculatedColumnFormula>AVERAGEIFS(TradingData[Result RR], TradingData[Session], "New York")</calculatedColumnFormula>
    </tableColumn>
    <tableColumn id="6" xr3:uid="{99B88A82-FB41-4BD3-AE9A-47F705B6F71B}" name="Total R">
      <calculatedColumnFormula>SUMIFS(TradingData[Result RR], TradingData[Session], "New York")</calculatedColumnFormula>
    </tableColumn>
    <tableColumn id="7" xr3:uid="{F73830A0-B275-4D6C-BAC1-79DDA1563DE2}" name="Average Win" dataDxfId="30">
      <calculatedColumnFormula>AVERAGEIFS(TradingData[Result RR],TradingData[Session],"New York",TradingData[Outcome],"Win")</calculatedColumnFormula>
    </tableColumn>
    <tableColumn id="8" xr3:uid="{2DE6ECE1-D70D-4ECD-8762-BD411856E56C}" name="Average Loss" dataDxfId="29">
      <calculatedColumnFormula array="1">AVERAGE(IF((TradingData[Outcome]="Loss")+(TradingData[Outcome]="Exit"), IF(TradingData[Session]="New York", TradingData[Result RR])))</calculatedColumnFormula>
    </tableColumn>
    <tableColumn id="9" xr3:uid="{7FB9FC58-7265-482A-94C5-4A73A26043B2}" name="Expectancy" dataDxfId="28">
      <calculatedColumnFormula xml:space="preserve"> (D28*G28)+((1-D28)*H28)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856D289-EDF4-4247-BE0A-803EBE52DE5C}" name="Table13" displayName="Table13" ref="A31:I36" totalsRowShown="0">
  <autoFilter ref="A31:I36" xr:uid="{9856D289-EDF4-4247-BE0A-803EBE52DE5C}"/>
  <tableColumns count="9">
    <tableColumn id="1" xr3:uid="{97670CEB-1752-4CAB-B055-B65392EB61C2}" name="Day"/>
    <tableColumn id="2" xr3:uid="{B219298F-FFE4-4F9D-825D-64BEF08D8FE2}" name="Trades"/>
    <tableColumn id="3" xr3:uid="{4E8D3E03-351F-49A1-B18E-7416718ACCF6}" name="Wins"/>
    <tableColumn id="4" xr3:uid="{BFABA13D-2673-4CC6-8D9B-62A83128C6BB}" name="Win Rate" dataDxfId="6">
      <calculatedColumnFormula>C32/B32</calculatedColumnFormula>
    </tableColumn>
    <tableColumn id="5" xr3:uid="{FA08C3CC-056B-41E0-841A-CCB219992128}" name="Average R"/>
    <tableColumn id="6" xr3:uid="{9FA39ABA-BA7C-4FD2-9B2E-B3FE159CC68A}" name="Total R"/>
    <tableColumn id="7" xr3:uid="{250FD799-37D5-4463-BF1F-49357DE40CBE}" name="Average Win"/>
    <tableColumn id="8" xr3:uid="{8D972F6D-0A3E-49ED-A4CC-A548A2C0E455}" name="Average Loss"/>
    <tableColumn id="9" xr3:uid="{F5120FD7-ECF9-43A8-9F20-BA5F63D329C4}" name="Expectancy">
      <calculatedColumnFormula xml:space="preserve"> (D32*G32)+((1-D32)*H32)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5221CF8-AF57-4E87-877E-37D0408C09F5}" name="Table14" displayName="Table14" ref="A39:I51" totalsRowShown="0">
  <autoFilter ref="A39:I51" xr:uid="{15221CF8-AF57-4E87-877E-37D0408C09F5}"/>
  <tableColumns count="9">
    <tableColumn id="1" xr3:uid="{B882A600-8939-4351-95D6-171A5B537682}" name="Month"/>
    <tableColumn id="2" xr3:uid="{302A0956-5EA5-41CA-B8A0-43E585D7BBA4}" name="Trades"/>
    <tableColumn id="3" xr3:uid="{940C57D1-6DE3-4B6D-9354-C6B0369D140A}" name="Wins"/>
    <tableColumn id="4" xr3:uid="{C7311F73-EC6E-417E-9115-E39EDDDC4F91}" name="Win Rate" dataDxfId="5">
      <calculatedColumnFormula>C40/B40</calculatedColumnFormula>
    </tableColumn>
    <tableColumn id="5" xr3:uid="{E01914FD-CB73-4980-A491-61659214B622}" name="Average R"/>
    <tableColumn id="6" xr3:uid="{E2743542-1A39-4BA1-80B2-68AFB3CEE835}" name="Total R"/>
    <tableColumn id="7" xr3:uid="{A53CF9DC-A4DB-400A-AE6A-D6FA5CDEAA55}" name="Average Win"/>
    <tableColumn id="8" xr3:uid="{4A9BDEBE-9278-4060-BD70-5D4A21DF7463}" name="Average Loss"/>
    <tableColumn id="9" xr3:uid="{761624A7-4288-4E07-A8FB-3146FA3F517F}" name="Expectancy">
      <calculatedColumnFormula xml:space="preserve"> (D40*G40)+((1-D40)*H40)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7B0DB8-FBDC-4A7A-8F75-010CDCCD322E}" name="Table5" displayName="Table5" ref="A7:B12" totalsRowShown="0">
  <autoFilter ref="A7:B12" xr:uid="{637B0DB8-FBDC-4A7A-8F75-010CDCCD322E}"/>
  <tableColumns count="2">
    <tableColumn id="1" xr3:uid="{B46E6F84-7F74-4941-8645-15DC4311097A}" name="Metric"/>
    <tableColumn id="2" xr3:uid="{B0D768D3-B317-48AD-96DF-0AFC6F922A0A}" name="Resul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906B9F1-7488-4EC1-B726-D9FEFF251871}" name="Table8" displayName="Table8" ref="A18:C20" totalsRowShown="0">
  <autoFilter ref="A18:C20" xr:uid="{0906B9F1-7488-4EC1-B726-D9FEFF251871}"/>
  <tableColumns count="3">
    <tableColumn id="1" xr3:uid="{DA691373-0CBD-472B-B176-F31AC6538825}" name="Direction"/>
    <tableColumn id="2" xr3:uid="{AC37FB31-9B0C-464B-8735-504F028C0C4A}" name="Win Rate" dataDxfId="4"/>
    <tableColumn id="3" xr3:uid="{F39CC026-6054-4480-BA9F-621B494A721C}" name="Avg R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4759982-FF0E-4062-B2B4-0151691C9A60}" name="Table15" displayName="Table15" ref="A25:C27" totalsRowShown="0">
  <autoFilter ref="A25:C27" xr:uid="{64759982-FF0E-4062-B2B4-0151691C9A60}"/>
  <tableColumns count="3">
    <tableColumn id="1" xr3:uid="{037420E2-861B-4638-B061-401012EE408F}" name="HTF FVG Timeframe"/>
    <tableColumn id="2" xr3:uid="{88CACD3A-286F-4B4A-8C43-990598CC72E4}" name="Win Rate" dataDxfId="3"/>
    <tableColumn id="3" xr3:uid="{CD7FBCC5-FFA7-46D9-8FE5-C84CB8E3A2EF}" name="Avg R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F67EE54-CC67-4745-B8C1-6622CD9A2E38}" name="Table16" displayName="Table16" ref="A44:C46" totalsRowShown="0">
  <autoFilter ref="A44:C46" xr:uid="{7F67EE54-CC67-4745-B8C1-6622CD9A2E38}"/>
  <tableColumns count="3">
    <tableColumn id="1" xr3:uid="{B44AE4E1-09EB-4D69-BB6E-4F5A7ADE502F}" name="News"/>
    <tableColumn id="2" xr3:uid="{2E7B35A1-C506-486F-A875-3B675777F8BA}" name="Win Rate" dataDxfId="2"/>
    <tableColumn id="3" xr3:uid="{3A84BB58-4850-4C9E-A99E-41971A2F1B5C}" name="Avg R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82501A3-EB23-4598-A691-8D6B90ABCB70}" name="Table17" displayName="Table17" ref="A51:C56" totalsRowShown="0">
  <autoFilter ref="A51:C56" xr:uid="{682501A3-EB23-4598-A691-8D6B90ABCB70}"/>
  <tableColumns count="3">
    <tableColumn id="1" xr3:uid="{E8578816-F383-4309-B0A2-92370CE9AB21}" name="Weekday"/>
    <tableColumn id="2" xr3:uid="{C78E99D6-80A9-408A-A341-E85739E41DCB}" name="Win Rate" dataDxfId="1"/>
    <tableColumn id="3" xr3:uid="{F30056FE-A0E8-4E62-837E-65559A7BBFDF}" name="Avg R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9381AE8-650D-4904-9B66-977842C5B3D8}" name="Table18" displayName="Table18" ref="A61:C73" totalsRowShown="0">
  <autoFilter ref="A61:C73" xr:uid="{A9381AE8-650D-4904-9B66-977842C5B3D8}"/>
  <tableColumns count="3">
    <tableColumn id="1" xr3:uid="{0882158A-67A0-4B06-9A00-F624F2AC13B5}" name="Month"/>
    <tableColumn id="2" xr3:uid="{6861C3C4-AE26-4D85-9BB2-9BE1F3E80643}" name="Win Rate" dataDxfId="0"/>
    <tableColumn id="3" xr3:uid="{3FFA9CD3-B089-4043-8F45-0B005A39750C}" name="Avg 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1D7A6-5050-4E19-93C9-8EC3150901E1}">
  <dimension ref="A1:T169"/>
  <sheetViews>
    <sheetView topLeftCell="K138" workbookViewId="0">
      <selection activeCell="A169" sqref="A169"/>
    </sheetView>
  </sheetViews>
  <sheetFormatPr defaultRowHeight="15" x14ac:dyDescent="0.25"/>
  <cols>
    <col min="1" max="1" width="16.140625" bestFit="1" customWidth="1"/>
    <col min="2" max="2" width="10.7109375" bestFit="1" customWidth="1"/>
    <col min="3" max="3" width="10" bestFit="1" customWidth="1"/>
    <col min="4" max="4" width="15" bestFit="1" customWidth="1"/>
    <col min="5" max="5" width="11.42578125" bestFit="1" customWidth="1"/>
    <col min="6" max="6" width="21.140625" bestFit="1" customWidth="1"/>
    <col min="7" max="7" width="10.85546875" bestFit="1" customWidth="1"/>
    <col min="8" max="8" width="12.7109375" bestFit="1" customWidth="1"/>
    <col min="9" max="9" width="17.85546875" bestFit="1" customWidth="1"/>
    <col min="10" max="10" width="16.42578125" bestFit="1" customWidth="1"/>
    <col min="11" max="11" width="8.85546875" bestFit="1" customWidth="1"/>
    <col min="12" max="12" width="14.140625" bestFit="1" customWidth="1"/>
    <col min="13" max="13" width="11.5703125" bestFit="1" customWidth="1"/>
    <col min="14" max="14" width="11.42578125" bestFit="1" customWidth="1"/>
    <col min="15" max="15" width="8.28515625" bestFit="1" customWidth="1"/>
    <col min="16" max="16" width="15" bestFit="1" customWidth="1"/>
    <col min="17" max="17" width="13.5703125" bestFit="1" customWidth="1"/>
    <col min="18" max="18" width="12.85546875" bestFit="1" customWidth="1"/>
    <col min="19" max="19" width="11.7109375" bestFit="1" customWidth="1"/>
  </cols>
  <sheetData>
    <row r="1" spans="1:20" x14ac:dyDescent="0.25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49</v>
      </c>
      <c r="Q1" t="s">
        <v>50</v>
      </c>
      <c r="R1" t="s">
        <v>51</v>
      </c>
      <c r="S1" t="s">
        <v>68</v>
      </c>
      <c r="T1" t="s">
        <v>70</v>
      </c>
    </row>
    <row r="2" spans="1:20" x14ac:dyDescent="0.25">
      <c r="A2">
        <v>1</v>
      </c>
      <c r="B2" s="2">
        <v>45334</v>
      </c>
      <c r="C2" t="s">
        <v>15</v>
      </c>
      <c r="D2" s="1">
        <v>0.69097222222222221</v>
      </c>
      <c r="E2" t="s">
        <v>16</v>
      </c>
      <c r="F2" t="s">
        <v>17</v>
      </c>
      <c r="G2" t="s">
        <v>18</v>
      </c>
      <c r="H2">
        <v>1.2626599999999999</v>
      </c>
      <c r="I2">
        <v>1.2621100000000001</v>
      </c>
      <c r="J2">
        <v>1.2630999999999999</v>
      </c>
      <c r="K2">
        <v>2</v>
      </c>
      <c r="L2">
        <v>1.25</v>
      </c>
      <c r="M2">
        <v>1.25</v>
      </c>
      <c r="N2" t="s">
        <v>19</v>
      </c>
      <c r="O2" t="s">
        <v>20</v>
      </c>
      <c r="P2">
        <f>SUM($M$2:M2)</f>
        <v>1.25</v>
      </c>
      <c r="Q2">
        <f t="shared" ref="Q2:Q33" si="0">MAX(Q1,P2)</f>
        <v>1.25</v>
      </c>
      <c r="R2">
        <f t="shared" ref="R2:R33" si="1">P2-Q2</f>
        <v>0</v>
      </c>
      <c r="S2" t="str">
        <f>TEXT(TradingData[[#This Row],[Cleaned_Date]], "dddd")</f>
        <v>Monday</v>
      </c>
      <c r="T2" t="str">
        <f>TEXT(TradingData[[#This Row],[Cleaned_Date]], "mmm")</f>
        <v>Feb</v>
      </c>
    </row>
    <row r="3" spans="1:20" x14ac:dyDescent="0.25">
      <c r="A3">
        <v>2</v>
      </c>
      <c r="B3" s="2">
        <v>45336</v>
      </c>
      <c r="C3" t="s">
        <v>15</v>
      </c>
      <c r="D3" s="1">
        <v>0.54861111111111116</v>
      </c>
      <c r="E3" t="s">
        <v>16</v>
      </c>
      <c r="F3" t="s">
        <v>17</v>
      </c>
      <c r="G3" t="s">
        <v>21</v>
      </c>
      <c r="H3">
        <v>1.25614</v>
      </c>
      <c r="I3">
        <v>1.2535099999999999</v>
      </c>
      <c r="J3">
        <v>1.2570600000000001</v>
      </c>
      <c r="K3">
        <v>2</v>
      </c>
      <c r="L3">
        <v>2.86</v>
      </c>
      <c r="M3">
        <v>-1</v>
      </c>
      <c r="N3" t="s">
        <v>22</v>
      </c>
      <c r="O3" t="s">
        <v>20</v>
      </c>
      <c r="P3">
        <f>SUM($M$2:M3)</f>
        <v>0.25</v>
      </c>
      <c r="Q3">
        <f t="shared" si="0"/>
        <v>1.25</v>
      </c>
      <c r="R3">
        <f t="shared" si="1"/>
        <v>-1</v>
      </c>
      <c r="S3" t="str">
        <f>TEXT(TradingData[[#This Row],[Cleaned_Date]], "dddd")</f>
        <v>Wednesday</v>
      </c>
      <c r="T3" t="str">
        <f>TEXT(TradingData[[#This Row],[Cleaned_Date]], "mmm")</f>
        <v>Feb</v>
      </c>
    </row>
    <row r="4" spans="1:20" x14ac:dyDescent="0.25">
      <c r="A4">
        <v>3</v>
      </c>
      <c r="B4" s="2">
        <v>45341</v>
      </c>
      <c r="C4" t="s">
        <v>15</v>
      </c>
      <c r="D4" s="1">
        <v>0.70486111111111116</v>
      </c>
      <c r="E4" t="s">
        <v>16</v>
      </c>
      <c r="F4" t="s">
        <v>17</v>
      </c>
      <c r="G4" t="s">
        <v>18</v>
      </c>
      <c r="H4">
        <v>1.2592399999999999</v>
      </c>
      <c r="I4">
        <v>1.25831</v>
      </c>
      <c r="J4">
        <v>1.2601100000000001</v>
      </c>
      <c r="K4">
        <v>2</v>
      </c>
      <c r="L4">
        <v>1.07</v>
      </c>
      <c r="M4">
        <v>1.07</v>
      </c>
      <c r="N4" t="s">
        <v>19</v>
      </c>
      <c r="O4" t="s">
        <v>20</v>
      </c>
      <c r="P4">
        <f>SUM($M$2:M4)</f>
        <v>1.32</v>
      </c>
      <c r="Q4">
        <f t="shared" si="0"/>
        <v>1.32</v>
      </c>
      <c r="R4">
        <f t="shared" si="1"/>
        <v>0</v>
      </c>
      <c r="S4" t="str">
        <f>TEXT(TradingData[[#This Row],[Cleaned_Date]], "dddd")</f>
        <v>Monday</v>
      </c>
      <c r="T4" t="str">
        <f>TEXT(TradingData[[#This Row],[Cleaned_Date]], "mmm")</f>
        <v>Feb</v>
      </c>
    </row>
    <row r="5" spans="1:20" x14ac:dyDescent="0.25">
      <c r="A5">
        <v>4</v>
      </c>
      <c r="B5" s="2">
        <v>45349</v>
      </c>
      <c r="C5" t="s">
        <v>15</v>
      </c>
      <c r="D5" s="1">
        <v>0.1701388888888889</v>
      </c>
      <c r="E5" t="s">
        <v>16</v>
      </c>
      <c r="F5" t="s">
        <v>23</v>
      </c>
      <c r="G5" t="s">
        <v>24</v>
      </c>
      <c r="H5">
        <v>1.26885</v>
      </c>
      <c r="I5">
        <v>1.2670600000000001</v>
      </c>
      <c r="J5">
        <v>1.2696799999999999</v>
      </c>
      <c r="K5">
        <v>2</v>
      </c>
      <c r="L5">
        <v>2.16</v>
      </c>
      <c r="M5">
        <v>2.16</v>
      </c>
      <c r="N5" t="s">
        <v>19</v>
      </c>
      <c r="O5" t="s">
        <v>25</v>
      </c>
      <c r="P5">
        <f>SUM($M$2:M5)</f>
        <v>3.4800000000000004</v>
      </c>
      <c r="Q5">
        <f t="shared" si="0"/>
        <v>3.4800000000000004</v>
      </c>
      <c r="R5">
        <f t="shared" si="1"/>
        <v>0</v>
      </c>
      <c r="S5" t="str">
        <f>TEXT(TradingData[[#This Row],[Cleaned_Date]], "dddd")</f>
        <v>Tuesday</v>
      </c>
      <c r="T5" t="str">
        <f>TEXT(TradingData[[#This Row],[Cleaned_Date]], "mmm")</f>
        <v>Feb</v>
      </c>
    </row>
    <row r="6" spans="1:20" x14ac:dyDescent="0.25">
      <c r="A6">
        <v>5</v>
      </c>
      <c r="B6" s="2">
        <v>45352</v>
      </c>
      <c r="C6" t="s">
        <v>15</v>
      </c>
      <c r="D6" s="1">
        <v>1.3888888888888888E-2</v>
      </c>
      <c r="E6" t="s">
        <v>16</v>
      </c>
      <c r="F6" t="s">
        <v>17</v>
      </c>
      <c r="G6" t="s">
        <v>21</v>
      </c>
      <c r="H6">
        <v>1.26251</v>
      </c>
      <c r="I6">
        <v>1.26119</v>
      </c>
      <c r="J6">
        <v>1.2635400000000001</v>
      </c>
      <c r="K6">
        <v>2</v>
      </c>
      <c r="L6">
        <v>1.28</v>
      </c>
      <c r="M6">
        <v>-1</v>
      </c>
      <c r="N6" t="s">
        <v>22</v>
      </c>
      <c r="O6" t="s">
        <v>20</v>
      </c>
      <c r="P6">
        <f>SUM($M$2:M6)</f>
        <v>2.4800000000000004</v>
      </c>
      <c r="Q6">
        <f t="shared" si="0"/>
        <v>3.4800000000000004</v>
      </c>
      <c r="R6">
        <f t="shared" si="1"/>
        <v>-1</v>
      </c>
      <c r="S6" t="str">
        <f>TEXT(TradingData[[#This Row],[Cleaned_Date]], "dddd")</f>
        <v>Friday</v>
      </c>
      <c r="T6" t="str">
        <f>TEXT(TradingData[[#This Row],[Cleaned_Date]], "mmm")</f>
        <v>Mar</v>
      </c>
    </row>
    <row r="7" spans="1:20" x14ac:dyDescent="0.25">
      <c r="A7">
        <v>6</v>
      </c>
      <c r="B7" s="2">
        <v>45356</v>
      </c>
      <c r="C7" t="s">
        <v>15</v>
      </c>
      <c r="D7" s="1">
        <v>0.59375</v>
      </c>
      <c r="E7" t="s">
        <v>26</v>
      </c>
      <c r="F7" t="s">
        <v>17</v>
      </c>
      <c r="G7" t="s">
        <v>21</v>
      </c>
      <c r="H7">
        <v>1.2706500000000001</v>
      </c>
      <c r="I7">
        <v>1.27349</v>
      </c>
      <c r="J7">
        <v>1.2699499999999999</v>
      </c>
      <c r="K7">
        <v>2</v>
      </c>
      <c r="L7">
        <v>4.0599999999999996</v>
      </c>
      <c r="M7">
        <v>-1</v>
      </c>
      <c r="N7" t="s">
        <v>22</v>
      </c>
      <c r="O7" t="s">
        <v>20</v>
      </c>
      <c r="P7">
        <f>SUM($M$2:M7)</f>
        <v>1.4800000000000004</v>
      </c>
      <c r="Q7">
        <f t="shared" si="0"/>
        <v>3.4800000000000004</v>
      </c>
      <c r="R7">
        <f t="shared" si="1"/>
        <v>-2</v>
      </c>
      <c r="S7" t="str">
        <f>TEXT(TradingData[[#This Row],[Cleaned_Date]], "dddd")</f>
        <v>Tuesday</v>
      </c>
      <c r="T7" t="str">
        <f>TEXT(TradingData[[#This Row],[Cleaned_Date]], "mmm")</f>
        <v>Mar</v>
      </c>
    </row>
    <row r="8" spans="1:20" x14ac:dyDescent="0.25">
      <c r="A8">
        <v>7</v>
      </c>
      <c r="B8" s="2">
        <v>45361</v>
      </c>
      <c r="C8" t="s">
        <v>15</v>
      </c>
      <c r="D8" s="1">
        <v>0.93055555555555558</v>
      </c>
      <c r="E8" t="s">
        <v>16</v>
      </c>
      <c r="F8" t="s">
        <v>17</v>
      </c>
      <c r="G8" t="s">
        <v>18</v>
      </c>
      <c r="H8">
        <v>1.28515</v>
      </c>
      <c r="I8">
        <v>1.2839799999999999</v>
      </c>
      <c r="J8">
        <v>1.2862</v>
      </c>
      <c r="K8">
        <v>2</v>
      </c>
      <c r="L8">
        <v>1.1100000000000001</v>
      </c>
      <c r="M8">
        <v>1.1100000000000001</v>
      </c>
      <c r="N8" t="s">
        <v>19</v>
      </c>
      <c r="O8" t="s">
        <v>20</v>
      </c>
      <c r="P8">
        <f>SUM($M$2:M8)</f>
        <v>2.5900000000000007</v>
      </c>
      <c r="Q8">
        <f t="shared" si="0"/>
        <v>3.4800000000000004</v>
      </c>
      <c r="R8">
        <f t="shared" si="1"/>
        <v>-0.88999999999999968</v>
      </c>
      <c r="S8" t="str">
        <f>TEXT(TradingData[[#This Row],[Cleaned_Date]], "dddd")</f>
        <v>Sunday</v>
      </c>
      <c r="T8" t="str">
        <f>TEXT(TradingData[[#This Row],[Cleaned_Date]], "mmm")</f>
        <v>Mar</v>
      </c>
    </row>
    <row r="9" spans="1:20" x14ac:dyDescent="0.25">
      <c r="A9">
        <v>8</v>
      </c>
      <c r="B9" s="2">
        <v>45364</v>
      </c>
      <c r="C9" t="s">
        <v>15</v>
      </c>
      <c r="D9" s="1">
        <v>0.56597222222222221</v>
      </c>
      <c r="E9" t="s">
        <v>16</v>
      </c>
      <c r="F9" t="s">
        <v>17</v>
      </c>
      <c r="G9" t="s">
        <v>24</v>
      </c>
      <c r="H9">
        <v>1.27921</v>
      </c>
      <c r="I9">
        <v>1.27443</v>
      </c>
      <c r="J9">
        <v>1.28112</v>
      </c>
      <c r="K9">
        <v>2</v>
      </c>
      <c r="L9">
        <v>2.5</v>
      </c>
      <c r="M9">
        <v>-1</v>
      </c>
      <c r="N9" t="s">
        <v>22</v>
      </c>
      <c r="O9" t="s">
        <v>20</v>
      </c>
      <c r="P9">
        <f>SUM($M$2:M9)</f>
        <v>1.5900000000000007</v>
      </c>
      <c r="Q9">
        <f t="shared" si="0"/>
        <v>3.4800000000000004</v>
      </c>
      <c r="R9">
        <f t="shared" si="1"/>
        <v>-1.8899999999999997</v>
      </c>
      <c r="S9" t="str">
        <f>TEXT(TradingData[[#This Row],[Cleaned_Date]], "dddd")</f>
        <v>Wednesday</v>
      </c>
      <c r="T9" t="str">
        <f>TEXT(TradingData[[#This Row],[Cleaned_Date]], "mmm")</f>
        <v>Mar</v>
      </c>
    </row>
    <row r="10" spans="1:20" x14ac:dyDescent="0.25">
      <c r="A10">
        <v>9</v>
      </c>
      <c r="B10" s="2">
        <v>45391</v>
      </c>
      <c r="C10" t="s">
        <v>15</v>
      </c>
      <c r="D10" s="1">
        <v>0.62152777777777779</v>
      </c>
      <c r="E10" t="s">
        <v>26</v>
      </c>
      <c r="F10" t="s">
        <v>17</v>
      </c>
      <c r="G10" t="s">
        <v>18</v>
      </c>
      <c r="H10">
        <v>1.2670300000000001</v>
      </c>
      <c r="I10">
        <v>1.27094</v>
      </c>
      <c r="J10">
        <v>1.26637</v>
      </c>
      <c r="K10">
        <v>2</v>
      </c>
      <c r="L10">
        <v>5.92</v>
      </c>
      <c r="M10">
        <v>-1</v>
      </c>
      <c r="N10" t="s">
        <v>22</v>
      </c>
      <c r="O10" t="s">
        <v>20</v>
      </c>
      <c r="P10">
        <f>SUM($M$2:M10)</f>
        <v>0.59000000000000075</v>
      </c>
      <c r="Q10">
        <f t="shared" si="0"/>
        <v>3.4800000000000004</v>
      </c>
      <c r="R10">
        <f t="shared" si="1"/>
        <v>-2.8899999999999997</v>
      </c>
      <c r="S10" t="str">
        <f>TEXT(TradingData[[#This Row],[Cleaned_Date]], "dddd")</f>
        <v>Tuesday</v>
      </c>
      <c r="T10" t="str">
        <f>TEXT(TradingData[[#This Row],[Cleaned_Date]], "mmm")</f>
        <v>Apr</v>
      </c>
    </row>
    <row r="11" spans="1:20" x14ac:dyDescent="0.25">
      <c r="A11">
        <v>10</v>
      </c>
      <c r="B11" s="2">
        <v>45391</v>
      </c>
      <c r="C11" t="s">
        <v>15</v>
      </c>
      <c r="D11" s="1">
        <v>0.64236111111111116</v>
      </c>
      <c r="E11" t="s">
        <v>26</v>
      </c>
      <c r="F11" t="s">
        <v>17</v>
      </c>
      <c r="G11" t="s">
        <v>18</v>
      </c>
      <c r="H11">
        <v>1.26719</v>
      </c>
      <c r="I11">
        <v>1.27094</v>
      </c>
      <c r="J11">
        <v>1.2663</v>
      </c>
      <c r="K11">
        <v>2</v>
      </c>
      <c r="L11">
        <v>4.21</v>
      </c>
      <c r="M11">
        <v>1</v>
      </c>
      <c r="N11" t="s">
        <v>22</v>
      </c>
      <c r="O11" t="s">
        <v>20</v>
      </c>
      <c r="P11">
        <f>SUM($M$2:M11)</f>
        <v>1.5900000000000007</v>
      </c>
      <c r="Q11">
        <f t="shared" si="0"/>
        <v>3.4800000000000004</v>
      </c>
      <c r="R11">
        <f t="shared" si="1"/>
        <v>-1.8899999999999997</v>
      </c>
      <c r="S11" t="str">
        <f>TEXT(TradingData[[#This Row],[Cleaned_Date]], "dddd")</f>
        <v>Tuesday</v>
      </c>
      <c r="T11" t="str">
        <f>TEXT(TradingData[[#This Row],[Cleaned_Date]], "mmm")</f>
        <v>Apr</v>
      </c>
    </row>
    <row r="12" spans="1:20" x14ac:dyDescent="0.25">
      <c r="A12">
        <v>11</v>
      </c>
      <c r="B12" s="2">
        <v>45401</v>
      </c>
      <c r="C12" t="s">
        <v>15</v>
      </c>
      <c r="D12" s="1">
        <v>0.22916666666666666</v>
      </c>
      <c r="E12" t="s">
        <v>16</v>
      </c>
      <c r="F12" t="s">
        <v>23</v>
      </c>
      <c r="G12" t="s">
        <v>24</v>
      </c>
      <c r="H12">
        <v>1.24379</v>
      </c>
      <c r="I12">
        <v>1.2388300000000001</v>
      </c>
      <c r="J12">
        <v>1.24516</v>
      </c>
      <c r="K12">
        <v>2</v>
      </c>
      <c r="L12">
        <v>3.62</v>
      </c>
      <c r="M12">
        <v>-1</v>
      </c>
      <c r="N12" t="s">
        <v>22</v>
      </c>
      <c r="O12" t="s">
        <v>20</v>
      </c>
      <c r="P12">
        <f>SUM($M$2:M12)</f>
        <v>0.59000000000000075</v>
      </c>
      <c r="Q12">
        <f t="shared" si="0"/>
        <v>3.4800000000000004</v>
      </c>
      <c r="R12">
        <f t="shared" si="1"/>
        <v>-2.8899999999999997</v>
      </c>
      <c r="S12" t="str">
        <f>TEXT(TradingData[[#This Row],[Cleaned_Date]], "dddd")</f>
        <v>Friday</v>
      </c>
      <c r="T12" t="str">
        <f>TEXT(TradingData[[#This Row],[Cleaned_Date]], "mmm")</f>
        <v>Apr</v>
      </c>
    </row>
    <row r="13" spans="1:20" x14ac:dyDescent="0.25">
      <c r="A13">
        <v>12</v>
      </c>
      <c r="B13" s="2">
        <v>45401</v>
      </c>
      <c r="C13" t="s">
        <v>15</v>
      </c>
      <c r="D13" s="1">
        <v>0.25</v>
      </c>
      <c r="E13" t="s">
        <v>16</v>
      </c>
      <c r="F13" t="s">
        <v>23</v>
      </c>
      <c r="G13" t="s">
        <v>24</v>
      </c>
      <c r="H13">
        <v>1.24424</v>
      </c>
      <c r="I13">
        <v>1.2388300000000001</v>
      </c>
      <c r="J13">
        <v>1.24559</v>
      </c>
      <c r="K13">
        <v>2</v>
      </c>
      <c r="L13">
        <v>4.01</v>
      </c>
      <c r="M13">
        <v>-1</v>
      </c>
      <c r="N13" t="s">
        <v>22</v>
      </c>
      <c r="O13" t="s">
        <v>20</v>
      </c>
      <c r="P13">
        <f>SUM($M$2:M13)</f>
        <v>-0.40999999999999925</v>
      </c>
      <c r="Q13">
        <f t="shared" si="0"/>
        <v>3.4800000000000004</v>
      </c>
      <c r="R13">
        <f t="shared" si="1"/>
        <v>-3.8899999999999997</v>
      </c>
      <c r="S13" t="str">
        <f>TEXT(TradingData[[#This Row],[Cleaned_Date]], "dddd")</f>
        <v>Friday</v>
      </c>
      <c r="T13" t="str">
        <f>TEXT(TradingData[[#This Row],[Cleaned_Date]], "mmm")</f>
        <v>Apr</v>
      </c>
    </row>
    <row r="14" spans="1:20" x14ac:dyDescent="0.25">
      <c r="A14">
        <v>13</v>
      </c>
      <c r="B14" s="2">
        <v>45405</v>
      </c>
      <c r="C14" t="s">
        <v>15</v>
      </c>
      <c r="D14" s="1">
        <v>0.1388888888888889</v>
      </c>
      <c r="E14" t="s">
        <v>26</v>
      </c>
      <c r="F14" t="s">
        <v>17</v>
      </c>
      <c r="G14" t="s">
        <v>21</v>
      </c>
      <c r="H14">
        <v>1.23455</v>
      </c>
      <c r="I14">
        <v>1.2361599999999999</v>
      </c>
      <c r="J14">
        <v>1.23316</v>
      </c>
      <c r="K14">
        <v>2</v>
      </c>
      <c r="L14">
        <v>1.1599999999999999</v>
      </c>
      <c r="M14">
        <v>1.1599999999999999</v>
      </c>
      <c r="N14" t="s">
        <v>19</v>
      </c>
      <c r="O14" t="s">
        <v>25</v>
      </c>
      <c r="P14">
        <f>SUM($M$2:M14)</f>
        <v>0.75000000000000067</v>
      </c>
      <c r="Q14">
        <f t="shared" si="0"/>
        <v>3.4800000000000004</v>
      </c>
      <c r="R14">
        <f t="shared" si="1"/>
        <v>-2.7299999999999995</v>
      </c>
      <c r="S14" t="str">
        <f>TEXT(TradingData[[#This Row],[Cleaned_Date]], "dddd")</f>
        <v>Tuesday</v>
      </c>
      <c r="T14" t="str">
        <f>TEXT(TradingData[[#This Row],[Cleaned_Date]], "mmm")</f>
        <v>Apr</v>
      </c>
    </row>
    <row r="15" spans="1:20" x14ac:dyDescent="0.25">
      <c r="A15">
        <v>14</v>
      </c>
      <c r="B15" s="2">
        <v>45406</v>
      </c>
      <c r="C15" t="s">
        <v>15</v>
      </c>
      <c r="D15" s="1">
        <v>0.21527777777777779</v>
      </c>
      <c r="E15" t="s">
        <v>26</v>
      </c>
      <c r="F15" t="s">
        <v>17</v>
      </c>
      <c r="G15" t="s">
        <v>18</v>
      </c>
      <c r="H15">
        <v>1.24343</v>
      </c>
      <c r="I15">
        <v>1.24648</v>
      </c>
      <c r="J15">
        <v>1.24224</v>
      </c>
      <c r="K15">
        <v>2</v>
      </c>
      <c r="L15">
        <v>2.56</v>
      </c>
      <c r="M15">
        <v>2.56</v>
      </c>
      <c r="N15" t="s">
        <v>19</v>
      </c>
      <c r="O15" t="s">
        <v>20</v>
      </c>
      <c r="P15">
        <f>SUM($M$2:M15)</f>
        <v>3.3100000000000005</v>
      </c>
      <c r="Q15">
        <f t="shared" si="0"/>
        <v>3.4800000000000004</v>
      </c>
      <c r="R15">
        <f t="shared" si="1"/>
        <v>-0.16999999999999993</v>
      </c>
      <c r="S15" t="str">
        <f>TEXT(TradingData[[#This Row],[Cleaned_Date]], "dddd")</f>
        <v>Wednesday</v>
      </c>
      <c r="T15" t="str">
        <f>TEXT(TradingData[[#This Row],[Cleaned_Date]], "mmm")</f>
        <v>Apr</v>
      </c>
    </row>
    <row r="16" spans="1:20" x14ac:dyDescent="0.25">
      <c r="A16">
        <v>15</v>
      </c>
      <c r="B16" s="2">
        <v>45418</v>
      </c>
      <c r="C16" t="s">
        <v>15</v>
      </c>
      <c r="D16" s="1">
        <v>0.74305555555555558</v>
      </c>
      <c r="E16" t="s">
        <v>26</v>
      </c>
      <c r="F16" t="s">
        <v>17</v>
      </c>
      <c r="G16" t="s">
        <v>27</v>
      </c>
      <c r="H16">
        <v>1.2563200000000001</v>
      </c>
      <c r="I16">
        <v>1.2594399999999999</v>
      </c>
      <c r="J16">
        <v>1.2551399999999999</v>
      </c>
      <c r="K16">
        <v>2</v>
      </c>
      <c r="L16">
        <v>2.64</v>
      </c>
      <c r="M16">
        <v>-1</v>
      </c>
      <c r="N16" t="s">
        <v>22</v>
      </c>
      <c r="O16" t="s">
        <v>20</v>
      </c>
      <c r="P16">
        <f>SUM($M$2:M16)</f>
        <v>2.3100000000000005</v>
      </c>
      <c r="Q16">
        <f t="shared" si="0"/>
        <v>3.4800000000000004</v>
      </c>
      <c r="R16">
        <f t="shared" si="1"/>
        <v>-1.17</v>
      </c>
      <c r="S16" t="str">
        <f>TEXT(TradingData[[#This Row],[Cleaned_Date]], "dddd")</f>
        <v>Monday</v>
      </c>
      <c r="T16" t="str">
        <f>TEXT(TradingData[[#This Row],[Cleaned_Date]], "mmm")</f>
        <v>May</v>
      </c>
    </row>
    <row r="17" spans="1:20" x14ac:dyDescent="0.25">
      <c r="A17">
        <v>16</v>
      </c>
      <c r="B17" s="2">
        <v>45421</v>
      </c>
      <c r="C17" t="s">
        <v>15</v>
      </c>
      <c r="D17" s="1">
        <v>0.86458333333333337</v>
      </c>
      <c r="E17" t="s">
        <v>16</v>
      </c>
      <c r="F17" t="s">
        <v>17</v>
      </c>
      <c r="G17" t="s">
        <v>27</v>
      </c>
      <c r="H17">
        <v>1.25176</v>
      </c>
      <c r="I17">
        <v>1.2445600000000001</v>
      </c>
      <c r="J17">
        <v>1.25295</v>
      </c>
      <c r="K17">
        <v>2</v>
      </c>
      <c r="L17">
        <v>6.05</v>
      </c>
      <c r="M17">
        <v>-1</v>
      </c>
      <c r="N17" t="s">
        <v>22</v>
      </c>
      <c r="O17" t="s">
        <v>20</v>
      </c>
      <c r="P17">
        <f>SUM($M$2:M17)</f>
        <v>1.3100000000000005</v>
      </c>
      <c r="Q17">
        <f t="shared" si="0"/>
        <v>3.4800000000000004</v>
      </c>
      <c r="R17">
        <f t="shared" si="1"/>
        <v>-2.17</v>
      </c>
      <c r="S17" t="str">
        <f>TEXT(TradingData[[#This Row],[Cleaned_Date]], "dddd")</f>
        <v>Thursday</v>
      </c>
      <c r="T17" t="str">
        <f>TEXT(TradingData[[#This Row],[Cleaned_Date]], "mmm")</f>
        <v>May</v>
      </c>
    </row>
    <row r="18" spans="1:20" x14ac:dyDescent="0.25">
      <c r="A18">
        <v>17</v>
      </c>
      <c r="B18" s="2">
        <v>45442</v>
      </c>
      <c r="C18" t="s">
        <v>15</v>
      </c>
      <c r="D18" s="1">
        <v>0.25347222222222221</v>
      </c>
      <c r="E18" t="s">
        <v>16</v>
      </c>
      <c r="F18" t="s">
        <v>17</v>
      </c>
      <c r="G18" t="s">
        <v>18</v>
      </c>
      <c r="H18">
        <v>1.27075</v>
      </c>
      <c r="I18">
        <v>1.26807</v>
      </c>
      <c r="J18">
        <v>1.27189</v>
      </c>
      <c r="K18">
        <v>2</v>
      </c>
      <c r="L18">
        <v>2.35</v>
      </c>
      <c r="M18">
        <v>-1</v>
      </c>
      <c r="N18" t="s">
        <v>22</v>
      </c>
      <c r="O18" t="s">
        <v>25</v>
      </c>
      <c r="P18">
        <f>SUM($M$2:M18)</f>
        <v>0.3100000000000005</v>
      </c>
      <c r="Q18">
        <f t="shared" si="0"/>
        <v>3.4800000000000004</v>
      </c>
      <c r="R18">
        <f t="shared" si="1"/>
        <v>-3.17</v>
      </c>
      <c r="S18" t="str">
        <f>TEXT(TradingData[[#This Row],[Cleaned_Date]], "dddd")</f>
        <v>Thursday</v>
      </c>
      <c r="T18" t="str">
        <f>TEXT(TradingData[[#This Row],[Cleaned_Date]], "mmm")</f>
        <v>May</v>
      </c>
    </row>
    <row r="19" spans="1:20" x14ac:dyDescent="0.25">
      <c r="A19">
        <v>18</v>
      </c>
      <c r="B19" s="2">
        <v>45454</v>
      </c>
      <c r="C19" t="s">
        <v>15</v>
      </c>
      <c r="D19" s="1">
        <v>0.39583333333333331</v>
      </c>
      <c r="E19" t="s">
        <v>16</v>
      </c>
      <c r="F19" t="s">
        <v>17</v>
      </c>
      <c r="G19" t="s">
        <v>18</v>
      </c>
      <c r="H19">
        <v>1.2726999999999999</v>
      </c>
      <c r="I19">
        <v>1.26878</v>
      </c>
      <c r="J19">
        <v>1.2749600000000001</v>
      </c>
      <c r="K19">
        <v>2</v>
      </c>
      <c r="L19">
        <v>1.73</v>
      </c>
      <c r="M19">
        <v>-1</v>
      </c>
      <c r="N19" t="s">
        <v>22</v>
      </c>
      <c r="O19" t="s">
        <v>20</v>
      </c>
      <c r="P19">
        <f>SUM($M$2:M19)</f>
        <v>-0.6899999999999995</v>
      </c>
      <c r="Q19">
        <f t="shared" si="0"/>
        <v>3.4800000000000004</v>
      </c>
      <c r="R19">
        <f t="shared" si="1"/>
        <v>-4.17</v>
      </c>
      <c r="S19" t="str">
        <f>TEXT(TradingData[[#This Row],[Cleaned_Date]], "dddd")</f>
        <v>Tuesday</v>
      </c>
      <c r="T19" t="str">
        <f>TEXT(TradingData[[#This Row],[Cleaned_Date]], "mmm")</f>
        <v>Jun</v>
      </c>
    </row>
    <row r="20" spans="1:20" x14ac:dyDescent="0.25">
      <c r="A20">
        <v>19</v>
      </c>
      <c r="B20" s="2">
        <v>45462</v>
      </c>
      <c r="C20" t="s">
        <v>15</v>
      </c>
      <c r="D20" s="1">
        <v>0.2951388888888889</v>
      </c>
      <c r="E20" t="s">
        <v>16</v>
      </c>
      <c r="F20" t="s">
        <v>17</v>
      </c>
      <c r="G20" t="s">
        <v>24</v>
      </c>
      <c r="H20">
        <v>1.2730399999999999</v>
      </c>
      <c r="I20">
        <v>1.2656799999999999</v>
      </c>
      <c r="J20">
        <v>1.27399</v>
      </c>
      <c r="K20">
        <v>2</v>
      </c>
      <c r="L20">
        <v>7.75</v>
      </c>
      <c r="M20">
        <v>7.75</v>
      </c>
      <c r="N20" t="s">
        <v>19</v>
      </c>
      <c r="O20" t="s">
        <v>20</v>
      </c>
      <c r="P20">
        <f>SUM($M$2:M20)</f>
        <v>7.0600000000000005</v>
      </c>
      <c r="Q20">
        <f t="shared" si="0"/>
        <v>7.0600000000000005</v>
      </c>
      <c r="R20">
        <f t="shared" si="1"/>
        <v>0</v>
      </c>
      <c r="S20" t="str">
        <f>TEXT(TradingData[[#This Row],[Cleaned_Date]], "dddd")</f>
        <v>Wednesday</v>
      </c>
      <c r="T20" t="str">
        <f>TEXT(TradingData[[#This Row],[Cleaned_Date]], "mmm")</f>
        <v>Jun</v>
      </c>
    </row>
    <row r="21" spans="1:20" x14ac:dyDescent="0.25">
      <c r="A21">
        <v>20</v>
      </c>
      <c r="B21" s="2">
        <v>45474</v>
      </c>
      <c r="C21" t="s">
        <v>15</v>
      </c>
      <c r="D21" s="1">
        <v>0.38194444444444442</v>
      </c>
      <c r="E21" t="s">
        <v>26</v>
      </c>
      <c r="F21" t="s">
        <v>23</v>
      </c>
      <c r="G21" t="s">
        <v>24</v>
      </c>
      <c r="H21">
        <v>1.2670999999999999</v>
      </c>
      <c r="I21">
        <v>1.26894</v>
      </c>
      <c r="J21">
        <v>1.26579</v>
      </c>
      <c r="K21">
        <v>2</v>
      </c>
      <c r="L21">
        <v>1.4</v>
      </c>
      <c r="M21">
        <v>1.4</v>
      </c>
      <c r="N21" t="s">
        <v>19</v>
      </c>
      <c r="O21" t="s">
        <v>25</v>
      </c>
      <c r="P21">
        <f>SUM($M$2:M21)</f>
        <v>8.4600000000000009</v>
      </c>
      <c r="Q21">
        <f t="shared" si="0"/>
        <v>8.4600000000000009</v>
      </c>
      <c r="R21">
        <f t="shared" si="1"/>
        <v>0</v>
      </c>
      <c r="S21" t="str">
        <f>TEXT(TradingData[[#This Row],[Cleaned_Date]], "dddd")</f>
        <v>Monday</v>
      </c>
      <c r="T21" t="str">
        <f>TEXT(TradingData[[#This Row],[Cleaned_Date]], "mmm")</f>
        <v>Jul</v>
      </c>
    </row>
    <row r="22" spans="1:20" x14ac:dyDescent="0.25">
      <c r="A22">
        <v>21</v>
      </c>
      <c r="B22" s="2">
        <v>45491</v>
      </c>
      <c r="C22" t="s">
        <v>15</v>
      </c>
      <c r="D22" s="1">
        <v>0.82291666666666663</v>
      </c>
      <c r="E22" t="s">
        <v>26</v>
      </c>
      <c r="F22" t="s">
        <v>17</v>
      </c>
      <c r="G22" t="s">
        <v>27</v>
      </c>
      <c r="H22">
        <v>1.29505</v>
      </c>
      <c r="I22">
        <v>1.3044500000000001</v>
      </c>
      <c r="J22">
        <v>1.29339</v>
      </c>
      <c r="K22">
        <v>2</v>
      </c>
      <c r="L22">
        <v>5.66</v>
      </c>
      <c r="M22">
        <v>-1</v>
      </c>
      <c r="N22" t="s">
        <v>22</v>
      </c>
      <c r="O22" t="s">
        <v>20</v>
      </c>
      <c r="P22">
        <f>SUM($M$2:M22)</f>
        <v>7.4600000000000009</v>
      </c>
      <c r="Q22">
        <f t="shared" si="0"/>
        <v>8.4600000000000009</v>
      </c>
      <c r="R22">
        <f t="shared" si="1"/>
        <v>-1</v>
      </c>
      <c r="S22" t="str">
        <f>TEXT(TradingData[[#This Row],[Cleaned_Date]], "dddd")</f>
        <v>Thursday</v>
      </c>
      <c r="T22" t="str">
        <f>TEXT(TradingData[[#This Row],[Cleaned_Date]], "mmm")</f>
        <v>Jul</v>
      </c>
    </row>
    <row r="23" spans="1:20" x14ac:dyDescent="0.25">
      <c r="A23">
        <v>22</v>
      </c>
      <c r="B23" s="2">
        <v>45497</v>
      </c>
      <c r="C23" t="s">
        <v>15</v>
      </c>
      <c r="D23" s="1">
        <v>0.73958333333333337</v>
      </c>
      <c r="E23" t="s">
        <v>26</v>
      </c>
      <c r="F23" t="s">
        <v>23</v>
      </c>
      <c r="G23" t="s">
        <v>24</v>
      </c>
      <c r="H23">
        <v>1.29071</v>
      </c>
      <c r="I23">
        <v>1.29375</v>
      </c>
      <c r="J23">
        <v>1.2899</v>
      </c>
      <c r="K23">
        <v>2</v>
      </c>
      <c r="L23">
        <v>3.75</v>
      </c>
      <c r="M23">
        <v>-1</v>
      </c>
      <c r="N23" t="s">
        <v>22</v>
      </c>
      <c r="O23" t="s">
        <v>20</v>
      </c>
      <c r="P23">
        <f>SUM($M$2:M23)</f>
        <v>6.4600000000000009</v>
      </c>
      <c r="Q23">
        <f t="shared" si="0"/>
        <v>8.4600000000000009</v>
      </c>
      <c r="R23">
        <f t="shared" si="1"/>
        <v>-2</v>
      </c>
      <c r="S23" t="str">
        <f>TEXT(TradingData[[#This Row],[Cleaned_Date]], "dddd")</f>
        <v>Wednesday</v>
      </c>
      <c r="T23" t="str">
        <f>TEXT(TradingData[[#This Row],[Cleaned_Date]], "mmm")</f>
        <v>Jul</v>
      </c>
    </row>
    <row r="24" spans="1:20" x14ac:dyDescent="0.25">
      <c r="A24">
        <v>23</v>
      </c>
      <c r="B24" s="2">
        <v>45505</v>
      </c>
      <c r="C24" t="s">
        <v>15</v>
      </c>
      <c r="D24" s="1">
        <v>0.42708333333333331</v>
      </c>
      <c r="E24" t="s">
        <v>16</v>
      </c>
      <c r="F24" t="s">
        <v>17</v>
      </c>
      <c r="G24" t="s">
        <v>18</v>
      </c>
      <c r="H24">
        <v>1.2817000000000001</v>
      </c>
      <c r="I24">
        <v>1.27501</v>
      </c>
      <c r="J24">
        <v>1.28396</v>
      </c>
      <c r="K24">
        <v>2</v>
      </c>
      <c r="L24">
        <v>2.96</v>
      </c>
      <c r="M24">
        <v>2.96</v>
      </c>
      <c r="N24" t="s">
        <v>19</v>
      </c>
      <c r="O24" t="s">
        <v>20</v>
      </c>
      <c r="P24">
        <f>SUM($M$2:M24)</f>
        <v>9.4200000000000017</v>
      </c>
      <c r="Q24">
        <f t="shared" si="0"/>
        <v>9.4200000000000017</v>
      </c>
      <c r="R24">
        <f t="shared" si="1"/>
        <v>0</v>
      </c>
      <c r="S24" t="str">
        <f>TEXT(TradingData[[#This Row],[Cleaned_Date]], "dddd")</f>
        <v>Thursday</v>
      </c>
      <c r="T24" t="str">
        <f>TEXT(TradingData[[#This Row],[Cleaned_Date]], "mmm")</f>
        <v>Aug</v>
      </c>
    </row>
    <row r="25" spans="1:20" x14ac:dyDescent="0.25">
      <c r="A25">
        <v>24</v>
      </c>
      <c r="B25" s="2">
        <v>45509</v>
      </c>
      <c r="C25" t="s">
        <v>15</v>
      </c>
      <c r="D25" s="1">
        <v>0.89930555555555558</v>
      </c>
      <c r="E25" t="s">
        <v>16</v>
      </c>
      <c r="F25" t="s">
        <v>17</v>
      </c>
      <c r="G25" t="s">
        <v>18</v>
      </c>
      <c r="H25">
        <v>1.2781899999999999</v>
      </c>
      <c r="I25">
        <v>1.27098</v>
      </c>
      <c r="J25">
        <v>1.2802899999999999</v>
      </c>
      <c r="K25">
        <v>2</v>
      </c>
      <c r="L25">
        <v>3.43</v>
      </c>
      <c r="M25">
        <v>3.43</v>
      </c>
      <c r="N25" t="s">
        <v>19</v>
      </c>
      <c r="O25" t="s">
        <v>20</v>
      </c>
      <c r="P25">
        <f>SUM($M$2:M25)</f>
        <v>12.850000000000001</v>
      </c>
      <c r="Q25">
        <f t="shared" si="0"/>
        <v>12.850000000000001</v>
      </c>
      <c r="R25">
        <f t="shared" si="1"/>
        <v>0</v>
      </c>
      <c r="S25" t="str">
        <f>TEXT(TradingData[[#This Row],[Cleaned_Date]], "dddd")</f>
        <v>Monday</v>
      </c>
      <c r="T25" t="str">
        <f>TEXT(TradingData[[#This Row],[Cleaned_Date]], "mmm")</f>
        <v>Aug</v>
      </c>
    </row>
    <row r="26" spans="1:20" x14ac:dyDescent="0.25">
      <c r="A26">
        <v>25</v>
      </c>
      <c r="B26" s="2">
        <v>45519</v>
      </c>
      <c r="C26" t="s">
        <v>15</v>
      </c>
      <c r="D26" s="1">
        <v>0.3923611111111111</v>
      </c>
      <c r="E26" t="s">
        <v>26</v>
      </c>
      <c r="F26" t="s">
        <v>17</v>
      </c>
      <c r="G26" t="s">
        <v>24</v>
      </c>
      <c r="H26">
        <v>1.2822</v>
      </c>
      <c r="I26">
        <v>1.28728</v>
      </c>
      <c r="J26">
        <v>1.2798400000000001</v>
      </c>
      <c r="K26">
        <v>2</v>
      </c>
      <c r="L26">
        <v>2.15</v>
      </c>
      <c r="M26">
        <v>2.15</v>
      </c>
      <c r="N26" t="s">
        <v>19</v>
      </c>
      <c r="O26" t="s">
        <v>20</v>
      </c>
      <c r="P26">
        <f>SUM($M$2:M26)</f>
        <v>15.000000000000002</v>
      </c>
      <c r="Q26">
        <f t="shared" si="0"/>
        <v>15.000000000000002</v>
      </c>
      <c r="R26">
        <f t="shared" si="1"/>
        <v>0</v>
      </c>
      <c r="S26" t="str">
        <f>TEXT(TradingData[[#This Row],[Cleaned_Date]], "dddd")</f>
        <v>Thursday</v>
      </c>
      <c r="T26" t="str">
        <f>TEXT(TradingData[[#This Row],[Cleaned_Date]], "mmm")</f>
        <v>Aug</v>
      </c>
    </row>
    <row r="27" spans="1:20" x14ac:dyDescent="0.25">
      <c r="A27">
        <v>26</v>
      </c>
      <c r="B27" s="2">
        <v>45523</v>
      </c>
      <c r="C27" t="s">
        <v>15</v>
      </c>
      <c r="D27" s="1">
        <v>0.53472222222222221</v>
      </c>
      <c r="E27" t="s">
        <v>26</v>
      </c>
      <c r="F27" t="s">
        <v>17</v>
      </c>
      <c r="G27" t="s">
        <v>18</v>
      </c>
      <c r="H27">
        <v>1.298</v>
      </c>
      <c r="I27">
        <v>1.2997300000000001</v>
      </c>
      <c r="J27">
        <v>1.2972699999999999</v>
      </c>
      <c r="K27">
        <v>2</v>
      </c>
      <c r="L27">
        <v>2.37</v>
      </c>
      <c r="M27">
        <v>2.37</v>
      </c>
      <c r="N27" t="s">
        <v>19</v>
      </c>
      <c r="O27" t="s">
        <v>20</v>
      </c>
      <c r="P27">
        <f>SUM($M$2:M27)</f>
        <v>17.37</v>
      </c>
      <c r="Q27">
        <f t="shared" si="0"/>
        <v>17.37</v>
      </c>
      <c r="R27">
        <f t="shared" si="1"/>
        <v>0</v>
      </c>
      <c r="S27" t="str">
        <f>TEXT(TradingData[[#This Row],[Cleaned_Date]], "dddd")</f>
        <v>Monday</v>
      </c>
      <c r="T27" t="str">
        <f>TEXT(TradingData[[#This Row],[Cleaned_Date]], "mmm")</f>
        <v>Aug</v>
      </c>
    </row>
    <row r="28" spans="1:20" x14ac:dyDescent="0.25">
      <c r="A28">
        <v>27</v>
      </c>
      <c r="B28" s="2">
        <v>45534</v>
      </c>
      <c r="C28" t="s">
        <v>15</v>
      </c>
      <c r="D28" s="1">
        <v>0.29166666666666669</v>
      </c>
      <c r="E28" t="s">
        <v>16</v>
      </c>
      <c r="F28" t="s">
        <v>23</v>
      </c>
      <c r="G28" t="s">
        <v>24</v>
      </c>
      <c r="H28">
        <v>1.3174699999999999</v>
      </c>
      <c r="I28">
        <v>1.31454</v>
      </c>
      <c r="J28">
        <v>1.3199799999999999</v>
      </c>
      <c r="K28">
        <v>2</v>
      </c>
      <c r="L28">
        <v>1.17</v>
      </c>
      <c r="M28">
        <v>1.17</v>
      </c>
      <c r="N28" t="s">
        <v>19</v>
      </c>
      <c r="O28" t="s">
        <v>25</v>
      </c>
      <c r="P28">
        <f>SUM($M$2:M28)</f>
        <v>18.54</v>
      </c>
      <c r="Q28">
        <f t="shared" si="0"/>
        <v>18.54</v>
      </c>
      <c r="R28">
        <f t="shared" si="1"/>
        <v>0</v>
      </c>
      <c r="S28" t="str">
        <f>TEXT(TradingData[[#This Row],[Cleaned_Date]], "dddd")</f>
        <v>Friday</v>
      </c>
      <c r="T28" t="str">
        <f>TEXT(TradingData[[#This Row],[Cleaned_Date]], "mmm")</f>
        <v>Aug</v>
      </c>
    </row>
    <row r="29" spans="1:20" x14ac:dyDescent="0.25">
      <c r="A29">
        <v>28</v>
      </c>
      <c r="B29" s="2">
        <v>45544</v>
      </c>
      <c r="C29" t="s">
        <v>15</v>
      </c>
      <c r="D29" s="1">
        <v>0.5625</v>
      </c>
      <c r="E29" t="s">
        <v>16</v>
      </c>
      <c r="F29" t="s">
        <v>23</v>
      </c>
      <c r="G29" t="s">
        <v>27</v>
      </c>
      <c r="H29">
        <v>1.30941</v>
      </c>
      <c r="I29">
        <v>1.30674</v>
      </c>
      <c r="J29">
        <v>1.3102</v>
      </c>
      <c r="K29">
        <v>2</v>
      </c>
      <c r="L29">
        <v>3.38</v>
      </c>
      <c r="M29">
        <v>3.38</v>
      </c>
      <c r="N29" t="s">
        <v>19</v>
      </c>
      <c r="O29" t="s">
        <v>20</v>
      </c>
      <c r="P29">
        <f>SUM($M$2:M29)</f>
        <v>21.919999999999998</v>
      </c>
      <c r="Q29">
        <f t="shared" si="0"/>
        <v>21.919999999999998</v>
      </c>
      <c r="R29">
        <f t="shared" si="1"/>
        <v>0</v>
      </c>
      <c r="S29" t="str">
        <f>TEXT(TradingData[[#This Row],[Cleaned_Date]], "dddd")</f>
        <v>Monday</v>
      </c>
      <c r="T29" t="str">
        <f>TEXT(TradingData[[#This Row],[Cleaned_Date]], "mmm")</f>
        <v>Sep</v>
      </c>
    </row>
    <row r="30" spans="1:20" x14ac:dyDescent="0.25">
      <c r="A30">
        <v>29</v>
      </c>
      <c r="B30" s="2">
        <v>45552</v>
      </c>
      <c r="C30" t="s">
        <v>15</v>
      </c>
      <c r="D30" s="1">
        <v>0.92361111111111116</v>
      </c>
      <c r="E30" t="s">
        <v>16</v>
      </c>
      <c r="F30" t="s">
        <v>17</v>
      </c>
      <c r="G30" t="s">
        <v>21</v>
      </c>
      <c r="H30">
        <v>1.3163400000000001</v>
      </c>
      <c r="I30">
        <v>1.31456</v>
      </c>
      <c r="J30">
        <v>1.3171900000000001</v>
      </c>
      <c r="K30">
        <v>2</v>
      </c>
      <c r="L30">
        <v>2.09</v>
      </c>
      <c r="M30">
        <v>-1</v>
      </c>
      <c r="N30" t="s">
        <v>22</v>
      </c>
      <c r="O30" t="s">
        <v>20</v>
      </c>
      <c r="P30">
        <f>SUM($M$2:M30)</f>
        <v>20.919999999999998</v>
      </c>
      <c r="Q30">
        <f t="shared" si="0"/>
        <v>21.919999999999998</v>
      </c>
      <c r="R30">
        <f t="shared" si="1"/>
        <v>-1</v>
      </c>
      <c r="S30" t="str">
        <f>TEXT(TradingData[[#This Row],[Cleaned_Date]], "dddd")</f>
        <v>Tuesday</v>
      </c>
      <c r="T30" t="str">
        <f>TEXT(TradingData[[#This Row],[Cleaned_Date]], "mmm")</f>
        <v>Sep</v>
      </c>
    </row>
    <row r="31" spans="1:20" x14ac:dyDescent="0.25">
      <c r="A31">
        <v>30</v>
      </c>
      <c r="B31" s="2">
        <v>45553</v>
      </c>
      <c r="C31" t="s">
        <v>15</v>
      </c>
      <c r="D31" s="1">
        <v>0.52083333333333337</v>
      </c>
      <c r="E31" t="s">
        <v>26</v>
      </c>
      <c r="F31" t="s">
        <v>17</v>
      </c>
      <c r="G31" t="s">
        <v>27</v>
      </c>
      <c r="H31">
        <v>1.32063</v>
      </c>
      <c r="I31">
        <v>1.3253699999999999</v>
      </c>
      <c r="J31">
        <v>1.3194699999999999</v>
      </c>
      <c r="K31">
        <v>2</v>
      </c>
      <c r="L31">
        <v>4.09</v>
      </c>
      <c r="M31">
        <v>4.09</v>
      </c>
      <c r="N31" t="s">
        <v>19</v>
      </c>
      <c r="O31" t="s">
        <v>25</v>
      </c>
      <c r="P31">
        <f>SUM($M$2:M31)</f>
        <v>25.009999999999998</v>
      </c>
      <c r="Q31">
        <f t="shared" si="0"/>
        <v>25.009999999999998</v>
      </c>
      <c r="R31">
        <f t="shared" si="1"/>
        <v>0</v>
      </c>
      <c r="S31" t="str">
        <f>TEXT(TradingData[[#This Row],[Cleaned_Date]], "dddd")</f>
        <v>Wednesday</v>
      </c>
      <c r="T31" t="str">
        <f>TEXT(TradingData[[#This Row],[Cleaned_Date]], "mmm")</f>
        <v>Sep</v>
      </c>
    </row>
    <row r="32" spans="1:20" x14ac:dyDescent="0.25">
      <c r="A32">
        <v>31</v>
      </c>
      <c r="B32" s="2">
        <v>45560</v>
      </c>
      <c r="C32" t="s">
        <v>15</v>
      </c>
      <c r="D32" s="1">
        <v>0.83680555555555558</v>
      </c>
      <c r="E32" t="s">
        <v>26</v>
      </c>
      <c r="F32" t="s">
        <v>23</v>
      </c>
      <c r="G32" t="s">
        <v>28</v>
      </c>
      <c r="H32">
        <v>1.33233</v>
      </c>
      <c r="I32">
        <v>1.34294</v>
      </c>
      <c r="J32">
        <v>1.3311999999999999</v>
      </c>
      <c r="K32">
        <v>2</v>
      </c>
      <c r="L32">
        <v>9.39</v>
      </c>
      <c r="M32">
        <v>9.39</v>
      </c>
      <c r="N32" t="s">
        <v>19</v>
      </c>
      <c r="O32" t="s">
        <v>20</v>
      </c>
      <c r="P32">
        <f>SUM($M$2:M32)</f>
        <v>34.4</v>
      </c>
      <c r="Q32">
        <f t="shared" si="0"/>
        <v>34.4</v>
      </c>
      <c r="R32">
        <f t="shared" si="1"/>
        <v>0</v>
      </c>
      <c r="S32" t="str">
        <f>TEXT(TradingData[[#This Row],[Cleaned_Date]], "dddd")</f>
        <v>Wednesday</v>
      </c>
      <c r="T32" t="str">
        <f>TEXT(TradingData[[#This Row],[Cleaned_Date]], "mmm")</f>
        <v>Sep</v>
      </c>
    </row>
    <row r="33" spans="1:20" x14ac:dyDescent="0.25">
      <c r="A33">
        <v>32</v>
      </c>
      <c r="B33" s="2">
        <v>45565</v>
      </c>
      <c r="C33" t="s">
        <v>15</v>
      </c>
      <c r="D33" s="1">
        <v>0.98263888888888884</v>
      </c>
      <c r="E33" t="s">
        <v>16</v>
      </c>
      <c r="F33" t="s">
        <v>23</v>
      </c>
      <c r="G33" t="s">
        <v>21</v>
      </c>
      <c r="H33">
        <v>1.3373200000000001</v>
      </c>
      <c r="I33">
        <v>1.3346800000000001</v>
      </c>
      <c r="J33">
        <v>1.3389500000000001</v>
      </c>
      <c r="K33">
        <v>2</v>
      </c>
      <c r="L33">
        <v>1.62</v>
      </c>
      <c r="M33">
        <v>1.62</v>
      </c>
      <c r="N33" t="s">
        <v>19</v>
      </c>
      <c r="O33" t="s">
        <v>20</v>
      </c>
      <c r="P33">
        <f>SUM($M$2:M33)</f>
        <v>36.019999999999996</v>
      </c>
      <c r="Q33">
        <f t="shared" si="0"/>
        <v>36.019999999999996</v>
      </c>
      <c r="R33">
        <f t="shared" si="1"/>
        <v>0</v>
      </c>
      <c r="S33" t="str">
        <f>TEXT(TradingData[[#This Row],[Cleaned_Date]], "dddd")</f>
        <v>Monday</v>
      </c>
      <c r="T33" t="str">
        <f>TEXT(TradingData[[#This Row],[Cleaned_Date]], "mmm")</f>
        <v>Sep</v>
      </c>
    </row>
    <row r="34" spans="1:20" x14ac:dyDescent="0.25">
      <c r="A34">
        <v>33</v>
      </c>
      <c r="B34" s="2">
        <v>45569</v>
      </c>
      <c r="C34" t="s">
        <v>15</v>
      </c>
      <c r="D34" s="1">
        <v>1.0416666666666666E-2</v>
      </c>
      <c r="E34" t="s">
        <v>26</v>
      </c>
      <c r="F34" t="s">
        <v>17</v>
      </c>
      <c r="G34" t="s">
        <v>28</v>
      </c>
      <c r="H34">
        <v>1.3250500000000001</v>
      </c>
      <c r="I34">
        <v>1.3305</v>
      </c>
      <c r="J34">
        <v>1.3244499999999999</v>
      </c>
      <c r="K34">
        <v>2</v>
      </c>
      <c r="L34">
        <v>9.08</v>
      </c>
      <c r="M34">
        <v>-1</v>
      </c>
      <c r="N34" t="s">
        <v>22</v>
      </c>
      <c r="O34" t="s">
        <v>20</v>
      </c>
      <c r="P34">
        <f>SUM($M$2:M34)</f>
        <v>35.019999999999996</v>
      </c>
      <c r="Q34">
        <f t="shared" ref="Q34:Q65" si="2">MAX(Q33,P34)</f>
        <v>36.019999999999996</v>
      </c>
      <c r="R34">
        <f t="shared" ref="R34:R65" si="3">P34-Q34</f>
        <v>-1</v>
      </c>
      <c r="S34" t="str">
        <f>TEXT(TradingData[[#This Row],[Cleaned_Date]], "dddd")</f>
        <v>Friday</v>
      </c>
      <c r="T34" t="str">
        <f>TEXT(TradingData[[#This Row],[Cleaned_Date]], "mmm")</f>
        <v>Oct</v>
      </c>
    </row>
    <row r="35" spans="1:20" x14ac:dyDescent="0.25">
      <c r="A35">
        <v>34</v>
      </c>
      <c r="B35" s="2">
        <v>45569</v>
      </c>
      <c r="C35" t="s">
        <v>15</v>
      </c>
      <c r="D35" s="1">
        <v>8.3333333333333329E-2</v>
      </c>
      <c r="E35" t="s">
        <v>16</v>
      </c>
      <c r="F35" t="s">
        <v>17</v>
      </c>
      <c r="G35" t="s">
        <v>29</v>
      </c>
      <c r="H35">
        <v>1.31307</v>
      </c>
      <c r="I35">
        <v>1.30894</v>
      </c>
      <c r="J35">
        <v>1.31406</v>
      </c>
      <c r="K35">
        <v>2</v>
      </c>
      <c r="L35">
        <v>4.17</v>
      </c>
      <c r="M35">
        <v>-1</v>
      </c>
      <c r="N35" t="s">
        <v>22</v>
      </c>
      <c r="O35" t="s">
        <v>20</v>
      </c>
      <c r="P35">
        <f>SUM($M$2:M35)</f>
        <v>34.019999999999996</v>
      </c>
      <c r="Q35">
        <f t="shared" si="2"/>
        <v>36.019999999999996</v>
      </c>
      <c r="R35">
        <f t="shared" si="3"/>
        <v>-2</v>
      </c>
      <c r="S35" t="str">
        <f>TEXT(TradingData[[#This Row],[Cleaned_Date]], "dddd")</f>
        <v>Friday</v>
      </c>
      <c r="T35" t="str">
        <f>TEXT(TradingData[[#This Row],[Cleaned_Date]], "mmm")</f>
        <v>Oct</v>
      </c>
    </row>
    <row r="36" spans="1:20" x14ac:dyDescent="0.25">
      <c r="A36">
        <v>35</v>
      </c>
      <c r="B36" s="2">
        <v>45572</v>
      </c>
      <c r="C36" t="s">
        <v>15</v>
      </c>
      <c r="D36" s="1">
        <v>3.8194444444444448E-2</v>
      </c>
      <c r="E36" t="s">
        <v>16</v>
      </c>
      <c r="F36" t="s">
        <v>23</v>
      </c>
      <c r="G36" t="s">
        <v>21</v>
      </c>
      <c r="H36">
        <v>1.3116399999999999</v>
      </c>
      <c r="I36">
        <v>1.3069299999999999</v>
      </c>
      <c r="J36">
        <v>1.31341</v>
      </c>
      <c r="K36">
        <v>2</v>
      </c>
      <c r="L36">
        <v>2.66</v>
      </c>
      <c r="M36">
        <v>2.66</v>
      </c>
      <c r="N36" t="s">
        <v>19</v>
      </c>
      <c r="O36" t="s">
        <v>20</v>
      </c>
      <c r="P36">
        <f>SUM($M$2:M36)</f>
        <v>36.679999999999993</v>
      </c>
      <c r="Q36">
        <f t="shared" si="2"/>
        <v>36.679999999999993</v>
      </c>
      <c r="R36">
        <f t="shared" si="3"/>
        <v>0</v>
      </c>
      <c r="S36" t="str">
        <f>TEXT(TradingData[[#This Row],[Cleaned_Date]], "dddd")</f>
        <v>Monday</v>
      </c>
      <c r="T36" t="str">
        <f>TEXT(TradingData[[#This Row],[Cleaned_Date]], "mmm")</f>
        <v>Oct</v>
      </c>
    </row>
    <row r="37" spans="1:20" x14ac:dyDescent="0.25">
      <c r="A37">
        <v>36</v>
      </c>
      <c r="B37" s="2">
        <v>45573</v>
      </c>
      <c r="C37" t="s">
        <v>15</v>
      </c>
      <c r="D37" s="1">
        <v>0.1736111111111111</v>
      </c>
      <c r="E37" t="s">
        <v>16</v>
      </c>
      <c r="F37" t="s">
        <v>23</v>
      </c>
      <c r="G37" t="s">
        <v>21</v>
      </c>
      <c r="H37">
        <v>1.30898</v>
      </c>
      <c r="I37">
        <v>1.3058700000000001</v>
      </c>
      <c r="J37">
        <v>1.3103899999999999</v>
      </c>
      <c r="K37">
        <v>2</v>
      </c>
      <c r="L37">
        <v>2.21</v>
      </c>
      <c r="M37">
        <v>-1</v>
      </c>
      <c r="N37" t="s">
        <v>22</v>
      </c>
      <c r="O37" t="s">
        <v>20</v>
      </c>
      <c r="P37">
        <f>SUM($M$2:M37)</f>
        <v>35.679999999999993</v>
      </c>
      <c r="Q37">
        <f t="shared" si="2"/>
        <v>36.679999999999993</v>
      </c>
      <c r="R37">
        <f t="shared" si="3"/>
        <v>-1</v>
      </c>
      <c r="S37" t="str">
        <f>TEXT(TradingData[[#This Row],[Cleaned_Date]], "dddd")</f>
        <v>Tuesday</v>
      </c>
      <c r="T37" t="str">
        <f>TEXT(TradingData[[#This Row],[Cleaned_Date]], "mmm")</f>
        <v>Oct</v>
      </c>
    </row>
    <row r="38" spans="1:20" x14ac:dyDescent="0.25">
      <c r="A38">
        <v>37</v>
      </c>
      <c r="B38" s="2">
        <v>45945</v>
      </c>
      <c r="C38" t="s">
        <v>15</v>
      </c>
      <c r="D38" s="1">
        <v>0.62847222222222221</v>
      </c>
      <c r="E38" t="s">
        <v>26</v>
      </c>
      <c r="F38" t="s">
        <v>17</v>
      </c>
      <c r="G38" t="s">
        <v>24</v>
      </c>
      <c r="H38">
        <v>1.30697</v>
      </c>
      <c r="I38">
        <v>1.31026</v>
      </c>
      <c r="J38">
        <v>1.3060099999999999</v>
      </c>
      <c r="K38">
        <v>2</v>
      </c>
      <c r="L38">
        <v>3.43</v>
      </c>
      <c r="M38">
        <v>-1</v>
      </c>
      <c r="N38" t="s">
        <v>22</v>
      </c>
      <c r="O38" t="s">
        <v>20</v>
      </c>
      <c r="P38">
        <f>SUM($M$2:M38)</f>
        <v>34.679999999999993</v>
      </c>
      <c r="Q38">
        <f t="shared" si="2"/>
        <v>36.679999999999993</v>
      </c>
      <c r="R38">
        <f t="shared" si="3"/>
        <v>-2</v>
      </c>
      <c r="S38" t="str">
        <f>TEXT(TradingData[[#This Row],[Cleaned_Date]], "dddd")</f>
        <v>Wednesday</v>
      </c>
      <c r="T38" t="str">
        <f>TEXT(TradingData[[#This Row],[Cleaned_Date]], "mmm")</f>
        <v>Oct</v>
      </c>
    </row>
    <row r="39" spans="1:20" x14ac:dyDescent="0.25">
      <c r="A39">
        <v>38</v>
      </c>
      <c r="B39" s="2">
        <v>45581</v>
      </c>
      <c r="C39" t="s">
        <v>15</v>
      </c>
      <c r="D39" s="1">
        <v>0.38194444444444442</v>
      </c>
      <c r="E39" t="s">
        <v>16</v>
      </c>
      <c r="F39" t="s">
        <v>23</v>
      </c>
      <c r="G39" t="s">
        <v>21</v>
      </c>
      <c r="H39">
        <v>1.30115</v>
      </c>
      <c r="I39">
        <v>1.29819</v>
      </c>
      <c r="J39">
        <v>1.3037399999999999</v>
      </c>
      <c r="K39">
        <v>2</v>
      </c>
      <c r="L39">
        <v>1.1399999999999999</v>
      </c>
      <c r="M39">
        <v>1.1399999999999999</v>
      </c>
      <c r="N39" t="s">
        <v>19</v>
      </c>
      <c r="O39" t="s">
        <v>20</v>
      </c>
      <c r="P39">
        <f>SUM($M$2:M39)</f>
        <v>35.819999999999993</v>
      </c>
      <c r="Q39">
        <f t="shared" si="2"/>
        <v>36.679999999999993</v>
      </c>
      <c r="R39">
        <f t="shared" si="3"/>
        <v>-0.85999999999999943</v>
      </c>
      <c r="S39" t="str">
        <f>TEXT(TradingData[[#This Row],[Cleaned_Date]], "dddd")</f>
        <v>Wednesday</v>
      </c>
      <c r="T39" t="str">
        <f>TEXT(TradingData[[#This Row],[Cleaned_Date]], "mmm")</f>
        <v>Oct</v>
      </c>
    </row>
    <row r="40" spans="1:20" x14ac:dyDescent="0.25">
      <c r="A40">
        <v>39</v>
      </c>
      <c r="B40" s="2">
        <v>45587</v>
      </c>
      <c r="C40" t="s">
        <v>15</v>
      </c>
      <c r="D40" s="1">
        <v>7.2916666666666671E-2</v>
      </c>
      <c r="E40" t="s">
        <v>16</v>
      </c>
      <c r="F40" t="s">
        <v>17</v>
      </c>
      <c r="G40" t="s">
        <v>21</v>
      </c>
      <c r="H40">
        <v>1.29992</v>
      </c>
      <c r="I40">
        <v>1.2972399999999999</v>
      </c>
      <c r="J40">
        <v>1.3006</v>
      </c>
      <c r="K40">
        <v>2</v>
      </c>
      <c r="L40">
        <v>3.94</v>
      </c>
      <c r="M40">
        <v>-1</v>
      </c>
      <c r="N40" t="s">
        <v>22</v>
      </c>
      <c r="O40" t="s">
        <v>20</v>
      </c>
      <c r="P40">
        <f>SUM($M$2:M40)</f>
        <v>34.819999999999993</v>
      </c>
      <c r="Q40">
        <f t="shared" si="2"/>
        <v>36.679999999999993</v>
      </c>
      <c r="R40">
        <f t="shared" si="3"/>
        <v>-1.8599999999999994</v>
      </c>
      <c r="S40" t="str">
        <f>TEXT(TradingData[[#This Row],[Cleaned_Date]], "dddd")</f>
        <v>Tuesday</v>
      </c>
      <c r="T40" t="str">
        <f>TEXT(TradingData[[#This Row],[Cleaned_Date]], "mmm")</f>
        <v>Oct</v>
      </c>
    </row>
    <row r="41" spans="1:20" x14ac:dyDescent="0.25">
      <c r="A41">
        <v>40</v>
      </c>
      <c r="B41" s="2">
        <v>45587</v>
      </c>
      <c r="C41" t="s">
        <v>15</v>
      </c>
      <c r="D41" s="1">
        <v>0.17708333333333334</v>
      </c>
      <c r="E41" t="s">
        <v>16</v>
      </c>
      <c r="F41" t="s">
        <v>17</v>
      </c>
      <c r="G41" t="s">
        <v>21</v>
      </c>
      <c r="H41">
        <v>1.3003100000000001</v>
      </c>
      <c r="I41">
        <v>1.2972399999999999</v>
      </c>
      <c r="J41">
        <v>1.3015000000000001</v>
      </c>
      <c r="K41">
        <v>2</v>
      </c>
      <c r="L41">
        <v>2.58</v>
      </c>
      <c r="M41">
        <v>2.58</v>
      </c>
      <c r="N41" t="s">
        <v>19</v>
      </c>
      <c r="O41" t="s">
        <v>25</v>
      </c>
      <c r="P41">
        <f>SUM($M$2:M41)</f>
        <v>37.399999999999991</v>
      </c>
      <c r="Q41">
        <f t="shared" si="2"/>
        <v>37.399999999999991</v>
      </c>
      <c r="R41">
        <f t="shared" si="3"/>
        <v>0</v>
      </c>
      <c r="S41" t="str">
        <f>TEXT(TradingData[[#This Row],[Cleaned_Date]], "dddd")</f>
        <v>Tuesday</v>
      </c>
      <c r="T41" t="str">
        <f>TEXT(TradingData[[#This Row],[Cleaned_Date]], "mmm")</f>
        <v>Oct</v>
      </c>
    </row>
    <row r="42" spans="1:20" x14ac:dyDescent="0.25">
      <c r="A42">
        <v>41</v>
      </c>
      <c r="B42" s="2">
        <v>45588</v>
      </c>
      <c r="C42" t="s">
        <v>15</v>
      </c>
      <c r="D42" s="1">
        <v>0.10416666666666667</v>
      </c>
      <c r="E42" t="s">
        <v>16</v>
      </c>
      <c r="F42" t="s">
        <v>17</v>
      </c>
      <c r="G42" t="s">
        <v>24</v>
      </c>
      <c r="H42">
        <v>1.29806</v>
      </c>
      <c r="I42">
        <v>1.2944199999999999</v>
      </c>
      <c r="J42">
        <v>1.2994699999999999</v>
      </c>
      <c r="K42">
        <v>2</v>
      </c>
      <c r="L42">
        <v>2.58</v>
      </c>
      <c r="M42">
        <v>2.58</v>
      </c>
      <c r="N42" t="s">
        <v>19</v>
      </c>
      <c r="O42" t="s">
        <v>20</v>
      </c>
      <c r="P42">
        <f>SUM($M$2:M42)</f>
        <v>39.97999999999999</v>
      </c>
      <c r="Q42">
        <f t="shared" si="2"/>
        <v>39.97999999999999</v>
      </c>
      <c r="R42">
        <f t="shared" si="3"/>
        <v>0</v>
      </c>
      <c r="S42" t="str">
        <f>TEXT(TradingData[[#This Row],[Cleaned_Date]], "dddd")</f>
        <v>Wednesday</v>
      </c>
      <c r="T42" t="str">
        <f>TEXT(TradingData[[#This Row],[Cleaned_Date]], "mmm")</f>
        <v>Oct</v>
      </c>
    </row>
    <row r="43" spans="1:20" x14ac:dyDescent="0.25">
      <c r="A43">
        <v>42</v>
      </c>
      <c r="B43" s="2">
        <v>45589</v>
      </c>
      <c r="C43" t="s">
        <v>15</v>
      </c>
      <c r="D43" s="1">
        <v>0.4375</v>
      </c>
      <c r="E43" t="s">
        <v>16</v>
      </c>
      <c r="F43" t="s">
        <v>17</v>
      </c>
      <c r="G43" t="s">
        <v>24</v>
      </c>
      <c r="H43">
        <v>1.2972600000000001</v>
      </c>
      <c r="I43">
        <v>1.2906899999999999</v>
      </c>
      <c r="J43">
        <v>1.29877</v>
      </c>
      <c r="K43">
        <v>2</v>
      </c>
      <c r="L43">
        <v>4.3499999999999996</v>
      </c>
      <c r="M43">
        <v>-1</v>
      </c>
      <c r="N43" t="s">
        <v>22</v>
      </c>
      <c r="O43" t="s">
        <v>25</v>
      </c>
      <c r="P43">
        <f>SUM($M$2:M43)</f>
        <v>38.97999999999999</v>
      </c>
      <c r="Q43">
        <f t="shared" si="2"/>
        <v>39.97999999999999</v>
      </c>
      <c r="R43">
        <f t="shared" si="3"/>
        <v>-1</v>
      </c>
      <c r="S43" t="str">
        <f>TEXT(TradingData[[#This Row],[Cleaned_Date]], "dddd")</f>
        <v>Thursday</v>
      </c>
      <c r="T43" t="str">
        <f>TEXT(TradingData[[#This Row],[Cleaned_Date]], "mmm")</f>
        <v>Oct</v>
      </c>
    </row>
    <row r="44" spans="1:20" x14ac:dyDescent="0.25">
      <c r="A44">
        <v>43</v>
      </c>
      <c r="B44" s="2">
        <v>45590</v>
      </c>
      <c r="C44" t="s">
        <v>15</v>
      </c>
      <c r="D44" s="1">
        <v>0.4826388888888889</v>
      </c>
      <c r="E44" t="s">
        <v>16</v>
      </c>
      <c r="F44" t="s">
        <v>17</v>
      </c>
      <c r="G44" t="s">
        <v>24</v>
      </c>
      <c r="H44">
        <v>1.29779</v>
      </c>
      <c r="I44">
        <v>1.2906899999999999</v>
      </c>
      <c r="J44">
        <v>1.29983</v>
      </c>
      <c r="K44">
        <v>2</v>
      </c>
      <c r="L44">
        <v>3.48</v>
      </c>
      <c r="M44">
        <v>0.54</v>
      </c>
      <c r="N44" t="s">
        <v>30</v>
      </c>
      <c r="O44" t="s">
        <v>20</v>
      </c>
      <c r="P44">
        <f>SUM($M$2:M44)</f>
        <v>39.519999999999989</v>
      </c>
      <c r="Q44">
        <f t="shared" si="2"/>
        <v>39.97999999999999</v>
      </c>
      <c r="R44">
        <f t="shared" si="3"/>
        <v>-0.46000000000000085</v>
      </c>
      <c r="S44" t="str">
        <f>TEXT(TradingData[[#This Row],[Cleaned_Date]], "dddd")</f>
        <v>Friday</v>
      </c>
      <c r="T44" t="str">
        <f>TEXT(TradingData[[#This Row],[Cleaned_Date]], "mmm")</f>
        <v>Oct</v>
      </c>
    </row>
    <row r="45" spans="1:20" x14ac:dyDescent="0.25">
      <c r="A45">
        <v>44</v>
      </c>
      <c r="B45" s="2">
        <v>45593</v>
      </c>
      <c r="C45" t="s">
        <v>15</v>
      </c>
      <c r="D45" s="1">
        <v>0.48958333333333331</v>
      </c>
      <c r="E45" t="s">
        <v>16</v>
      </c>
      <c r="F45" t="s">
        <v>17</v>
      </c>
      <c r="G45" t="s">
        <v>24</v>
      </c>
      <c r="H45">
        <v>1.29863</v>
      </c>
      <c r="I45">
        <v>1.2906899999999999</v>
      </c>
      <c r="J45">
        <v>1.3001</v>
      </c>
      <c r="K45">
        <v>2</v>
      </c>
      <c r="L45">
        <v>5.4</v>
      </c>
      <c r="M45">
        <v>-1</v>
      </c>
      <c r="N45" t="s">
        <v>22</v>
      </c>
      <c r="O45" t="s">
        <v>20</v>
      </c>
      <c r="P45">
        <f>SUM($M$2:M45)</f>
        <v>38.519999999999989</v>
      </c>
      <c r="Q45">
        <f t="shared" si="2"/>
        <v>39.97999999999999</v>
      </c>
      <c r="R45">
        <f t="shared" si="3"/>
        <v>-1.4600000000000009</v>
      </c>
      <c r="S45" t="str">
        <f>TEXT(TradingData[[#This Row],[Cleaned_Date]], "dddd")</f>
        <v>Monday</v>
      </c>
      <c r="T45" t="str">
        <f>TEXT(TradingData[[#This Row],[Cleaned_Date]], "mmm")</f>
        <v>Oct</v>
      </c>
    </row>
    <row r="46" spans="1:20" x14ac:dyDescent="0.25">
      <c r="A46">
        <v>45</v>
      </c>
      <c r="B46" s="2">
        <v>45597</v>
      </c>
      <c r="C46" t="s">
        <v>15</v>
      </c>
      <c r="D46" s="1">
        <v>0.51041666666666663</v>
      </c>
      <c r="E46" t="s">
        <v>16</v>
      </c>
      <c r="F46" t="s">
        <v>23</v>
      </c>
      <c r="G46" t="s">
        <v>27</v>
      </c>
      <c r="H46">
        <v>1.29508</v>
      </c>
      <c r="I46">
        <v>1.2843100000000001</v>
      </c>
      <c r="J46">
        <v>1.298</v>
      </c>
      <c r="K46">
        <v>2</v>
      </c>
      <c r="L46">
        <v>3.69</v>
      </c>
      <c r="M46">
        <v>0.89</v>
      </c>
      <c r="N46" t="s">
        <v>30</v>
      </c>
      <c r="O46" t="s">
        <v>20</v>
      </c>
      <c r="P46">
        <f>SUM($M$2:M46)</f>
        <v>39.409999999999989</v>
      </c>
      <c r="Q46">
        <f t="shared" si="2"/>
        <v>39.97999999999999</v>
      </c>
      <c r="R46">
        <f t="shared" si="3"/>
        <v>-0.57000000000000028</v>
      </c>
      <c r="S46" t="str">
        <f>TEXT(TradingData[[#This Row],[Cleaned_Date]], "dddd")</f>
        <v>Friday</v>
      </c>
      <c r="T46" t="str">
        <f>TEXT(TradingData[[#This Row],[Cleaned_Date]], "mmm")</f>
        <v>Nov</v>
      </c>
    </row>
    <row r="47" spans="1:20" x14ac:dyDescent="0.25">
      <c r="A47">
        <v>46</v>
      </c>
      <c r="B47" s="2">
        <v>45603</v>
      </c>
      <c r="C47" t="s">
        <v>15</v>
      </c>
      <c r="D47" s="1">
        <v>0.57986111111111116</v>
      </c>
      <c r="E47" t="s">
        <v>16</v>
      </c>
      <c r="F47" t="s">
        <v>17</v>
      </c>
      <c r="G47" t="s">
        <v>24</v>
      </c>
      <c r="H47">
        <v>1.29694</v>
      </c>
      <c r="I47">
        <v>1.2833699999999999</v>
      </c>
      <c r="J47">
        <v>1.3008999999999999</v>
      </c>
      <c r="K47">
        <v>2</v>
      </c>
      <c r="L47">
        <v>3.43</v>
      </c>
      <c r="M47">
        <v>1.47</v>
      </c>
      <c r="N47" t="s">
        <v>30</v>
      </c>
      <c r="O47" t="s">
        <v>25</v>
      </c>
      <c r="P47">
        <f>SUM($M$2:M47)</f>
        <v>40.879999999999988</v>
      </c>
      <c r="Q47">
        <f t="shared" si="2"/>
        <v>40.879999999999988</v>
      </c>
      <c r="R47">
        <f t="shared" si="3"/>
        <v>0</v>
      </c>
      <c r="S47" t="str">
        <f>TEXT(TradingData[[#This Row],[Cleaned_Date]], "dddd")</f>
        <v>Thursday</v>
      </c>
      <c r="T47" t="str">
        <f>TEXT(TradingData[[#This Row],[Cleaned_Date]], "mmm")</f>
        <v>Nov</v>
      </c>
    </row>
    <row r="48" spans="1:20" x14ac:dyDescent="0.25">
      <c r="A48">
        <v>47</v>
      </c>
      <c r="B48" s="2">
        <v>45607</v>
      </c>
      <c r="C48" t="s">
        <v>15</v>
      </c>
      <c r="D48" s="1">
        <v>0.52083333333333337</v>
      </c>
      <c r="E48" t="s">
        <v>16</v>
      </c>
      <c r="F48" t="s">
        <v>23</v>
      </c>
      <c r="G48" t="s">
        <v>18</v>
      </c>
      <c r="H48">
        <v>1.2871699999999999</v>
      </c>
      <c r="I48">
        <v>1.28555</v>
      </c>
      <c r="J48">
        <v>1.28775</v>
      </c>
      <c r="K48">
        <v>2</v>
      </c>
      <c r="L48">
        <v>2.79</v>
      </c>
      <c r="M48">
        <v>2.79</v>
      </c>
      <c r="N48" t="s">
        <v>19</v>
      </c>
      <c r="O48" t="s">
        <v>20</v>
      </c>
      <c r="P48">
        <f>SUM($M$2:M48)</f>
        <v>43.669999999999987</v>
      </c>
      <c r="Q48">
        <f t="shared" si="2"/>
        <v>43.669999999999987</v>
      </c>
      <c r="R48">
        <f t="shared" si="3"/>
        <v>0</v>
      </c>
      <c r="S48" t="str">
        <f>TEXT(TradingData[[#This Row],[Cleaned_Date]], "dddd")</f>
        <v>Monday</v>
      </c>
      <c r="T48" t="str">
        <f>TEXT(TradingData[[#This Row],[Cleaned_Date]], "mmm")</f>
        <v>Nov</v>
      </c>
    </row>
    <row r="49" spans="1:20" x14ac:dyDescent="0.25">
      <c r="A49">
        <v>48</v>
      </c>
      <c r="B49" s="2">
        <v>45608</v>
      </c>
      <c r="C49" t="s">
        <v>15</v>
      </c>
      <c r="D49" s="1">
        <v>0.94444444444444442</v>
      </c>
      <c r="E49" t="s">
        <v>16</v>
      </c>
      <c r="F49" t="s">
        <v>23</v>
      </c>
      <c r="G49" t="s">
        <v>18</v>
      </c>
      <c r="H49">
        <v>1.27434</v>
      </c>
      <c r="I49">
        <v>1.2718700000000001</v>
      </c>
      <c r="J49">
        <v>1.27546</v>
      </c>
      <c r="K49">
        <v>2</v>
      </c>
      <c r="L49">
        <v>2.21</v>
      </c>
      <c r="M49">
        <v>-1</v>
      </c>
      <c r="N49" t="s">
        <v>22</v>
      </c>
      <c r="O49" t="s">
        <v>20</v>
      </c>
      <c r="P49">
        <f>SUM($M$2:M49)</f>
        <v>42.669999999999987</v>
      </c>
      <c r="Q49">
        <f t="shared" si="2"/>
        <v>43.669999999999987</v>
      </c>
      <c r="R49">
        <f t="shared" si="3"/>
        <v>-1</v>
      </c>
      <c r="S49" t="str">
        <f>TEXT(TradingData[[#This Row],[Cleaned_Date]], "dddd")</f>
        <v>Tuesday</v>
      </c>
      <c r="T49" t="str">
        <f>TEXT(TradingData[[#This Row],[Cleaned_Date]], "mmm")</f>
        <v>Nov</v>
      </c>
    </row>
    <row r="50" spans="1:20" x14ac:dyDescent="0.25">
      <c r="A50">
        <v>49</v>
      </c>
      <c r="B50" s="2">
        <v>45609</v>
      </c>
      <c r="C50" t="s">
        <v>15</v>
      </c>
      <c r="D50" s="1">
        <v>0.3263888888888889</v>
      </c>
      <c r="E50" t="s">
        <v>16</v>
      </c>
      <c r="F50" t="s">
        <v>17</v>
      </c>
      <c r="G50" t="s">
        <v>29</v>
      </c>
      <c r="H50">
        <v>1.2744200000000001</v>
      </c>
      <c r="I50">
        <v>1.2718700000000001</v>
      </c>
      <c r="J50">
        <v>1.2758400000000001</v>
      </c>
      <c r="K50">
        <v>2</v>
      </c>
      <c r="L50">
        <v>1.8</v>
      </c>
      <c r="M50">
        <v>-1</v>
      </c>
      <c r="N50" t="s">
        <v>22</v>
      </c>
      <c r="O50" t="s">
        <v>25</v>
      </c>
      <c r="P50">
        <f>SUM($M$2:M50)</f>
        <v>41.669999999999987</v>
      </c>
      <c r="Q50">
        <f t="shared" si="2"/>
        <v>43.669999999999987</v>
      </c>
      <c r="R50">
        <f t="shared" si="3"/>
        <v>-2</v>
      </c>
      <c r="S50" t="str">
        <f>TEXT(TradingData[[#This Row],[Cleaned_Date]], "dddd")</f>
        <v>Wednesday</v>
      </c>
      <c r="T50" t="str">
        <f>TEXT(TradingData[[#This Row],[Cleaned_Date]], "mmm")</f>
        <v>Nov</v>
      </c>
    </row>
    <row r="51" spans="1:20" x14ac:dyDescent="0.25">
      <c r="A51">
        <v>50</v>
      </c>
      <c r="B51" s="2">
        <v>45610</v>
      </c>
      <c r="C51" t="s">
        <v>15</v>
      </c>
      <c r="D51" s="1">
        <v>7.9861111111111105E-2</v>
      </c>
      <c r="E51" t="s">
        <v>16</v>
      </c>
      <c r="F51" t="s">
        <v>17</v>
      </c>
      <c r="G51" t="s">
        <v>27</v>
      </c>
      <c r="H51">
        <v>1.2684500000000001</v>
      </c>
      <c r="I51">
        <v>1.2672600000000001</v>
      </c>
      <c r="J51">
        <v>1.2695000000000001</v>
      </c>
      <c r="K51">
        <v>2</v>
      </c>
      <c r="L51">
        <v>1.1299999999999999</v>
      </c>
      <c r="M51">
        <v>1.1299999999999999</v>
      </c>
      <c r="N51" t="s">
        <v>19</v>
      </c>
      <c r="O51" t="s">
        <v>20</v>
      </c>
      <c r="P51">
        <f>SUM($M$2:M51)</f>
        <v>42.79999999999999</v>
      </c>
      <c r="Q51">
        <f t="shared" si="2"/>
        <v>43.669999999999987</v>
      </c>
      <c r="R51">
        <f t="shared" si="3"/>
        <v>-0.86999999999999744</v>
      </c>
      <c r="S51" t="str">
        <f>TEXT(TradingData[[#This Row],[Cleaned_Date]], "dddd")</f>
        <v>Thursday</v>
      </c>
      <c r="T51" t="str">
        <f>TEXT(TradingData[[#This Row],[Cleaned_Date]], "mmm")</f>
        <v>Nov</v>
      </c>
    </row>
    <row r="52" spans="1:20" x14ac:dyDescent="0.25">
      <c r="A52">
        <v>51</v>
      </c>
      <c r="B52" s="2">
        <v>45610</v>
      </c>
      <c r="C52" t="s">
        <v>15</v>
      </c>
      <c r="D52" s="1">
        <v>0.36458333333333331</v>
      </c>
      <c r="E52" t="s">
        <v>16</v>
      </c>
      <c r="F52" t="s">
        <v>17</v>
      </c>
      <c r="G52" t="s">
        <v>18</v>
      </c>
      <c r="H52">
        <v>1.26634</v>
      </c>
      <c r="I52">
        <v>1.2629300000000001</v>
      </c>
      <c r="J52">
        <v>1.2679400000000001</v>
      </c>
      <c r="K52">
        <v>2</v>
      </c>
      <c r="L52">
        <v>2.13</v>
      </c>
      <c r="M52">
        <v>-1</v>
      </c>
      <c r="N52" t="s">
        <v>22</v>
      </c>
      <c r="O52" t="s">
        <v>20</v>
      </c>
      <c r="P52">
        <f>SUM($M$2:M52)</f>
        <v>41.79999999999999</v>
      </c>
      <c r="Q52">
        <f t="shared" si="2"/>
        <v>43.669999999999987</v>
      </c>
      <c r="R52">
        <f t="shared" si="3"/>
        <v>-1.8699999999999974</v>
      </c>
      <c r="S52" t="str">
        <f>TEXT(TradingData[[#This Row],[Cleaned_Date]], "dddd")</f>
        <v>Thursday</v>
      </c>
      <c r="T52" t="str">
        <f>TEXT(TradingData[[#This Row],[Cleaned_Date]], "mmm")</f>
        <v>Nov</v>
      </c>
    </row>
    <row r="53" spans="1:20" x14ac:dyDescent="0.25">
      <c r="A53">
        <v>52</v>
      </c>
      <c r="B53" s="2">
        <v>45610</v>
      </c>
      <c r="C53" t="s">
        <v>15</v>
      </c>
      <c r="D53" s="1">
        <v>0.51041666666666663</v>
      </c>
      <c r="E53" t="s">
        <v>16</v>
      </c>
      <c r="F53" t="s">
        <v>23</v>
      </c>
      <c r="G53" t="s">
        <v>24</v>
      </c>
      <c r="H53">
        <v>1.2698499999999999</v>
      </c>
      <c r="I53">
        <v>1.2629300000000001</v>
      </c>
      <c r="J53">
        <v>1.2719800000000001</v>
      </c>
      <c r="K53">
        <v>2</v>
      </c>
      <c r="L53">
        <v>3.25</v>
      </c>
      <c r="M53">
        <v>3.25</v>
      </c>
      <c r="N53" t="s">
        <v>19</v>
      </c>
      <c r="O53" t="s">
        <v>25</v>
      </c>
      <c r="P53">
        <f>SUM($M$2:M53)</f>
        <v>45.04999999999999</v>
      </c>
      <c r="Q53">
        <f t="shared" si="2"/>
        <v>45.04999999999999</v>
      </c>
      <c r="R53">
        <f t="shared" si="3"/>
        <v>0</v>
      </c>
      <c r="S53" t="str">
        <f>TEXT(TradingData[[#This Row],[Cleaned_Date]], "dddd")</f>
        <v>Thursday</v>
      </c>
      <c r="T53" t="str">
        <f>TEXT(TradingData[[#This Row],[Cleaned_Date]], "mmm")</f>
        <v>Nov</v>
      </c>
    </row>
    <row r="54" spans="1:20" x14ac:dyDescent="0.25">
      <c r="A54">
        <v>53</v>
      </c>
      <c r="B54" s="2">
        <v>45616</v>
      </c>
      <c r="C54" t="s">
        <v>15</v>
      </c>
      <c r="D54" s="1">
        <v>0.37152777777777779</v>
      </c>
      <c r="E54" t="s">
        <v>26</v>
      </c>
      <c r="F54" t="s">
        <v>23</v>
      </c>
      <c r="G54" t="s">
        <v>24</v>
      </c>
      <c r="H54">
        <v>1.26736</v>
      </c>
      <c r="I54">
        <v>1.2714099999999999</v>
      </c>
      <c r="J54">
        <v>1.2648699999999999</v>
      </c>
      <c r="K54">
        <v>2</v>
      </c>
      <c r="L54">
        <v>1.63</v>
      </c>
      <c r="M54">
        <v>-1</v>
      </c>
      <c r="N54" t="s">
        <v>22</v>
      </c>
      <c r="O54" t="s">
        <v>20</v>
      </c>
      <c r="P54">
        <f>SUM($M$2:M54)</f>
        <v>44.04999999999999</v>
      </c>
      <c r="Q54">
        <f t="shared" si="2"/>
        <v>45.04999999999999</v>
      </c>
      <c r="R54">
        <f t="shared" si="3"/>
        <v>-1</v>
      </c>
      <c r="S54" t="str">
        <f>TEXT(TradingData[[#This Row],[Cleaned_Date]], "dddd")</f>
        <v>Wednesday</v>
      </c>
      <c r="T54" t="str">
        <f>TEXT(TradingData[[#This Row],[Cleaned_Date]], "mmm")</f>
        <v>Nov</v>
      </c>
    </row>
    <row r="55" spans="1:20" x14ac:dyDescent="0.25">
      <c r="A55">
        <v>54</v>
      </c>
      <c r="B55" s="2">
        <v>45621</v>
      </c>
      <c r="C55" t="s">
        <v>15</v>
      </c>
      <c r="D55" s="1">
        <v>0.27777777777777779</v>
      </c>
      <c r="E55" t="s">
        <v>16</v>
      </c>
      <c r="F55" t="s">
        <v>17</v>
      </c>
      <c r="G55" t="s">
        <v>18</v>
      </c>
      <c r="H55">
        <v>1.25664</v>
      </c>
      <c r="I55">
        <v>1.25478</v>
      </c>
      <c r="J55">
        <v>1.25827</v>
      </c>
      <c r="K55">
        <v>2</v>
      </c>
      <c r="L55">
        <v>1.1399999999999999</v>
      </c>
      <c r="M55">
        <v>-1</v>
      </c>
      <c r="N55" t="s">
        <v>22</v>
      </c>
      <c r="O55" t="s">
        <v>20</v>
      </c>
      <c r="P55">
        <f>SUM($M$2:M55)</f>
        <v>43.04999999999999</v>
      </c>
      <c r="Q55">
        <f t="shared" si="2"/>
        <v>45.04999999999999</v>
      </c>
      <c r="R55">
        <f t="shared" si="3"/>
        <v>-2</v>
      </c>
      <c r="S55" t="str">
        <f>TEXT(TradingData[[#This Row],[Cleaned_Date]], "dddd")</f>
        <v>Monday</v>
      </c>
      <c r="T55" t="str">
        <f>TEXT(TradingData[[#This Row],[Cleaned_Date]], "mmm")</f>
        <v>Nov</v>
      </c>
    </row>
    <row r="56" spans="1:20" x14ac:dyDescent="0.25">
      <c r="A56">
        <v>55</v>
      </c>
      <c r="B56" s="2">
        <v>45629</v>
      </c>
      <c r="C56" t="s">
        <v>15</v>
      </c>
      <c r="D56" s="1">
        <v>0.18055555555555555</v>
      </c>
      <c r="E56" t="s">
        <v>16</v>
      </c>
      <c r="F56" t="s">
        <v>17</v>
      </c>
      <c r="G56" t="s">
        <v>24</v>
      </c>
      <c r="H56">
        <v>1.2685</v>
      </c>
      <c r="I56">
        <v>1.2616799999999999</v>
      </c>
      <c r="J56">
        <v>1.2696700000000001</v>
      </c>
      <c r="K56">
        <v>2</v>
      </c>
      <c r="L56">
        <v>5.83</v>
      </c>
      <c r="M56">
        <v>-1</v>
      </c>
      <c r="N56" t="s">
        <v>22</v>
      </c>
      <c r="O56" t="s">
        <v>20</v>
      </c>
      <c r="P56">
        <f>SUM($M$2:M56)</f>
        <v>42.04999999999999</v>
      </c>
      <c r="Q56">
        <f t="shared" si="2"/>
        <v>45.04999999999999</v>
      </c>
      <c r="R56">
        <f t="shared" si="3"/>
        <v>-3</v>
      </c>
      <c r="S56" t="str">
        <f>TEXT(TradingData[[#This Row],[Cleaned_Date]], "dddd")</f>
        <v>Tuesday</v>
      </c>
      <c r="T56" t="str">
        <f>TEXT(TradingData[[#This Row],[Cleaned_Date]], "mmm")</f>
        <v>Dec</v>
      </c>
    </row>
    <row r="57" spans="1:20" x14ac:dyDescent="0.25">
      <c r="A57">
        <v>56</v>
      </c>
      <c r="B57" s="2">
        <v>45629</v>
      </c>
      <c r="C57" t="s">
        <v>15</v>
      </c>
      <c r="D57" s="1">
        <v>0.62152777777777779</v>
      </c>
      <c r="E57" t="s">
        <v>16</v>
      </c>
      <c r="F57" t="s">
        <v>17</v>
      </c>
      <c r="G57" t="s">
        <v>24</v>
      </c>
      <c r="H57">
        <v>1.26674</v>
      </c>
      <c r="I57">
        <v>1.2616799999999999</v>
      </c>
      <c r="J57">
        <v>1.26993</v>
      </c>
      <c r="K57">
        <v>2</v>
      </c>
      <c r="L57">
        <v>1.59</v>
      </c>
      <c r="M57">
        <v>-1</v>
      </c>
      <c r="N57" t="s">
        <v>22</v>
      </c>
      <c r="O57" t="s">
        <v>20</v>
      </c>
      <c r="P57">
        <f>SUM($M$2:M57)</f>
        <v>41.04999999999999</v>
      </c>
      <c r="Q57">
        <f t="shared" si="2"/>
        <v>45.04999999999999</v>
      </c>
      <c r="R57">
        <f t="shared" si="3"/>
        <v>-4</v>
      </c>
      <c r="S57" t="str">
        <f>TEXT(TradingData[[#This Row],[Cleaned_Date]], "dddd")</f>
        <v>Tuesday</v>
      </c>
      <c r="T57" t="str">
        <f>TEXT(TradingData[[#This Row],[Cleaned_Date]], "mmm")</f>
        <v>Dec</v>
      </c>
    </row>
    <row r="58" spans="1:20" x14ac:dyDescent="0.25">
      <c r="A58">
        <v>57</v>
      </c>
      <c r="B58" s="2">
        <v>45630</v>
      </c>
      <c r="C58" t="s">
        <v>15</v>
      </c>
      <c r="D58" s="1">
        <v>9.0277777777777776E-2</v>
      </c>
      <c r="E58" t="s">
        <v>16</v>
      </c>
      <c r="F58" t="s">
        <v>17</v>
      </c>
      <c r="G58" t="s">
        <v>24</v>
      </c>
      <c r="H58">
        <v>1.26901</v>
      </c>
      <c r="I58">
        <v>1.2616799999999999</v>
      </c>
      <c r="J58">
        <v>1.27013</v>
      </c>
      <c r="K58">
        <v>2</v>
      </c>
      <c r="L58">
        <v>6.54</v>
      </c>
      <c r="M58">
        <v>-1</v>
      </c>
      <c r="N58" t="s">
        <v>22</v>
      </c>
      <c r="O58" t="s">
        <v>20</v>
      </c>
      <c r="P58">
        <f>SUM($M$2:M58)</f>
        <v>40.04999999999999</v>
      </c>
      <c r="Q58">
        <f t="shared" si="2"/>
        <v>45.04999999999999</v>
      </c>
      <c r="R58">
        <f t="shared" si="3"/>
        <v>-5</v>
      </c>
      <c r="S58" t="str">
        <f>TEXT(TradingData[[#This Row],[Cleaned_Date]], "dddd")</f>
        <v>Wednesday</v>
      </c>
      <c r="T58" t="str">
        <f>TEXT(TradingData[[#This Row],[Cleaned_Date]], "mmm")</f>
        <v>Dec</v>
      </c>
    </row>
    <row r="59" spans="1:20" x14ac:dyDescent="0.25">
      <c r="A59">
        <v>58</v>
      </c>
      <c r="B59" s="2">
        <v>45631</v>
      </c>
      <c r="C59" t="s">
        <v>15</v>
      </c>
      <c r="D59" s="1">
        <v>0.58333333333333337</v>
      </c>
      <c r="E59" t="s">
        <v>26</v>
      </c>
      <c r="F59" t="s">
        <v>17</v>
      </c>
      <c r="G59" t="s">
        <v>18</v>
      </c>
      <c r="H59">
        <v>1.27478</v>
      </c>
      <c r="I59">
        <v>1.2770600000000001</v>
      </c>
      <c r="J59">
        <v>1.2731600000000001</v>
      </c>
      <c r="K59">
        <v>2</v>
      </c>
      <c r="L59">
        <v>1.41</v>
      </c>
      <c r="M59">
        <v>1.41</v>
      </c>
      <c r="N59" t="s">
        <v>19</v>
      </c>
      <c r="O59" t="s">
        <v>20</v>
      </c>
      <c r="P59">
        <f>SUM($M$2:M59)</f>
        <v>41.459999999999987</v>
      </c>
      <c r="Q59">
        <f t="shared" si="2"/>
        <v>45.04999999999999</v>
      </c>
      <c r="R59">
        <f t="shared" si="3"/>
        <v>-3.5900000000000034</v>
      </c>
      <c r="S59" t="str">
        <f>TEXT(TradingData[[#This Row],[Cleaned_Date]], "dddd")</f>
        <v>Thursday</v>
      </c>
      <c r="T59" t="str">
        <f>TEXT(TradingData[[#This Row],[Cleaned_Date]], "mmm")</f>
        <v>Dec</v>
      </c>
    </row>
    <row r="60" spans="1:20" x14ac:dyDescent="0.25">
      <c r="A60">
        <v>59</v>
      </c>
      <c r="B60" s="2">
        <v>45635</v>
      </c>
      <c r="C60" t="s">
        <v>15</v>
      </c>
      <c r="D60" s="1">
        <v>0.72569444444444442</v>
      </c>
      <c r="E60" t="s">
        <v>26</v>
      </c>
      <c r="F60" t="s">
        <v>17</v>
      </c>
      <c r="G60" t="s">
        <v>27</v>
      </c>
      <c r="H60">
        <v>1.27512</v>
      </c>
      <c r="I60">
        <v>1.27986</v>
      </c>
      <c r="J60">
        <v>1.2742500000000001</v>
      </c>
      <c r="K60">
        <v>2</v>
      </c>
      <c r="L60">
        <v>5.45</v>
      </c>
      <c r="M60">
        <v>-1</v>
      </c>
      <c r="N60" t="s">
        <v>22</v>
      </c>
      <c r="O60" t="s">
        <v>20</v>
      </c>
      <c r="P60">
        <f>SUM($M$2:M60)</f>
        <v>40.459999999999987</v>
      </c>
      <c r="Q60">
        <f t="shared" si="2"/>
        <v>45.04999999999999</v>
      </c>
      <c r="R60">
        <f t="shared" si="3"/>
        <v>-4.5900000000000034</v>
      </c>
      <c r="S60" t="str">
        <f>TEXT(TradingData[[#This Row],[Cleaned_Date]], "dddd")</f>
        <v>Monday</v>
      </c>
      <c r="T60" t="str">
        <f>TEXT(TradingData[[#This Row],[Cleaned_Date]], "mmm")</f>
        <v>Dec</v>
      </c>
    </row>
    <row r="61" spans="1:20" x14ac:dyDescent="0.25">
      <c r="A61">
        <v>60</v>
      </c>
      <c r="B61" s="2">
        <v>45635</v>
      </c>
      <c r="C61" t="s">
        <v>15</v>
      </c>
      <c r="D61" s="1">
        <v>0.86805555555555558</v>
      </c>
      <c r="E61" t="s">
        <v>26</v>
      </c>
      <c r="F61" t="s">
        <v>17</v>
      </c>
      <c r="G61" t="s">
        <v>27</v>
      </c>
      <c r="H61">
        <v>1.2746500000000001</v>
      </c>
      <c r="I61">
        <v>1.27986</v>
      </c>
      <c r="J61">
        <v>1.2738700000000001</v>
      </c>
      <c r="K61">
        <v>2</v>
      </c>
      <c r="L61">
        <v>6.68</v>
      </c>
      <c r="M61">
        <v>-1</v>
      </c>
      <c r="N61" t="s">
        <v>22</v>
      </c>
      <c r="O61" t="s">
        <v>20</v>
      </c>
      <c r="P61">
        <f>SUM($M$2:M61)</f>
        <v>39.459999999999987</v>
      </c>
      <c r="Q61">
        <f t="shared" si="2"/>
        <v>45.04999999999999</v>
      </c>
      <c r="R61">
        <f t="shared" si="3"/>
        <v>-5.5900000000000034</v>
      </c>
      <c r="S61" t="str">
        <f>TEXT(TradingData[[#This Row],[Cleaned_Date]], "dddd")</f>
        <v>Monday</v>
      </c>
      <c r="T61" t="str">
        <f>TEXT(TradingData[[#This Row],[Cleaned_Date]], "mmm")</f>
        <v>Dec</v>
      </c>
    </row>
    <row r="62" spans="1:20" x14ac:dyDescent="0.25">
      <c r="A62">
        <v>61</v>
      </c>
      <c r="B62" s="2">
        <v>45653</v>
      </c>
      <c r="C62" t="s">
        <v>15</v>
      </c>
      <c r="D62" s="1">
        <v>0.50347222222222221</v>
      </c>
      <c r="E62" t="s">
        <v>16</v>
      </c>
      <c r="F62" t="s">
        <v>23</v>
      </c>
      <c r="G62" t="s">
        <v>24</v>
      </c>
      <c r="H62">
        <v>1.2558800000000001</v>
      </c>
      <c r="I62">
        <v>1.25007</v>
      </c>
      <c r="J62">
        <v>1.25925</v>
      </c>
      <c r="K62">
        <v>2</v>
      </c>
      <c r="L62">
        <v>1.72</v>
      </c>
      <c r="M62">
        <v>-0.33</v>
      </c>
      <c r="N62" t="s">
        <v>30</v>
      </c>
      <c r="O62" t="s">
        <v>20</v>
      </c>
      <c r="P62">
        <f>SUM($M$2:M62)</f>
        <v>39.129999999999988</v>
      </c>
      <c r="Q62">
        <f t="shared" si="2"/>
        <v>45.04999999999999</v>
      </c>
      <c r="R62">
        <f t="shared" si="3"/>
        <v>-5.9200000000000017</v>
      </c>
      <c r="S62" t="str">
        <f>TEXT(TradingData[[#This Row],[Cleaned_Date]], "dddd")</f>
        <v>Friday</v>
      </c>
      <c r="T62" t="str">
        <f>TEXT(TradingData[[#This Row],[Cleaned_Date]], "mmm")</f>
        <v>Dec</v>
      </c>
    </row>
    <row r="63" spans="1:20" x14ac:dyDescent="0.25">
      <c r="A63">
        <v>62</v>
      </c>
      <c r="B63" s="2">
        <v>45656</v>
      </c>
      <c r="C63" t="s">
        <v>15</v>
      </c>
      <c r="D63" s="1">
        <v>0.31597222222222221</v>
      </c>
      <c r="E63" t="s">
        <v>16</v>
      </c>
      <c r="F63" t="s">
        <v>17</v>
      </c>
      <c r="G63" t="s">
        <v>27</v>
      </c>
      <c r="H63">
        <v>1.25895</v>
      </c>
      <c r="I63">
        <v>1.24749</v>
      </c>
      <c r="J63">
        <v>1.2606999999999999</v>
      </c>
      <c r="K63">
        <v>2</v>
      </c>
      <c r="L63">
        <v>6.55</v>
      </c>
      <c r="M63">
        <v>6.55</v>
      </c>
      <c r="N63" t="s">
        <v>19</v>
      </c>
      <c r="O63" t="s">
        <v>20</v>
      </c>
      <c r="P63">
        <f>SUM($M$2:M63)</f>
        <v>45.679999999999986</v>
      </c>
      <c r="Q63">
        <f t="shared" si="2"/>
        <v>45.679999999999986</v>
      </c>
      <c r="R63">
        <f t="shared" si="3"/>
        <v>0</v>
      </c>
      <c r="S63" t="str">
        <f>TEXT(TradingData[[#This Row],[Cleaned_Date]], "dddd")</f>
        <v>Monday</v>
      </c>
      <c r="T63" t="str">
        <f>TEXT(TradingData[[#This Row],[Cleaned_Date]], "mmm")</f>
        <v>Dec</v>
      </c>
    </row>
    <row r="64" spans="1:20" x14ac:dyDescent="0.25">
      <c r="A64">
        <v>63</v>
      </c>
      <c r="B64" s="2">
        <v>45670</v>
      </c>
      <c r="C64" t="s">
        <v>15</v>
      </c>
      <c r="D64" s="1">
        <v>7.2916666666666671E-2</v>
      </c>
      <c r="E64" t="s">
        <v>16</v>
      </c>
      <c r="F64" t="s">
        <v>17</v>
      </c>
      <c r="G64" t="s">
        <v>21</v>
      </c>
      <c r="H64">
        <v>1.2144299999999999</v>
      </c>
      <c r="I64">
        <v>1.21254</v>
      </c>
      <c r="J64">
        <v>1.216</v>
      </c>
      <c r="K64">
        <v>2</v>
      </c>
      <c r="L64">
        <v>1.2</v>
      </c>
      <c r="M64">
        <v>1.2</v>
      </c>
      <c r="N64" t="s">
        <v>19</v>
      </c>
      <c r="O64" t="s">
        <v>20</v>
      </c>
      <c r="P64">
        <f>SUM($M$2:M64)</f>
        <v>46.879999999999988</v>
      </c>
      <c r="Q64">
        <f t="shared" si="2"/>
        <v>46.879999999999988</v>
      </c>
      <c r="R64">
        <f t="shared" si="3"/>
        <v>0</v>
      </c>
      <c r="S64" t="str">
        <f>TEXT(TradingData[[#This Row],[Cleaned_Date]], "dddd")</f>
        <v>Monday</v>
      </c>
      <c r="T64" t="str">
        <f>TEXT(TradingData[[#This Row],[Cleaned_Date]], "mmm")</f>
        <v>Jan</v>
      </c>
    </row>
    <row r="65" spans="1:20" x14ac:dyDescent="0.25">
      <c r="A65">
        <v>64</v>
      </c>
      <c r="B65" s="2">
        <v>45670</v>
      </c>
      <c r="C65" t="s">
        <v>15</v>
      </c>
      <c r="D65" s="1">
        <v>0.61458333333333337</v>
      </c>
      <c r="E65" t="s">
        <v>16</v>
      </c>
      <c r="F65" t="s">
        <v>17</v>
      </c>
      <c r="G65" t="s">
        <v>21</v>
      </c>
      <c r="H65">
        <v>1.21682</v>
      </c>
      <c r="I65">
        <v>1.20991</v>
      </c>
      <c r="J65">
        <v>1.2182999999999999</v>
      </c>
      <c r="K65">
        <v>2</v>
      </c>
      <c r="L65">
        <v>4.67</v>
      </c>
      <c r="M65">
        <v>-1</v>
      </c>
      <c r="N65" t="s">
        <v>22</v>
      </c>
      <c r="O65" t="s">
        <v>20</v>
      </c>
      <c r="P65">
        <f>SUM($M$2:M65)</f>
        <v>45.879999999999988</v>
      </c>
      <c r="Q65">
        <f t="shared" si="2"/>
        <v>46.879999999999988</v>
      </c>
      <c r="R65">
        <f t="shared" si="3"/>
        <v>-1</v>
      </c>
      <c r="S65" t="str">
        <f>TEXT(TradingData[[#This Row],[Cleaned_Date]], "dddd")</f>
        <v>Monday</v>
      </c>
      <c r="T65" t="str">
        <f>TEXT(TradingData[[#This Row],[Cleaned_Date]], "mmm")</f>
        <v>Jan</v>
      </c>
    </row>
    <row r="66" spans="1:20" x14ac:dyDescent="0.25">
      <c r="A66">
        <v>65</v>
      </c>
      <c r="B66" s="2">
        <v>45671</v>
      </c>
      <c r="C66" t="s">
        <v>15</v>
      </c>
      <c r="D66" s="1">
        <v>0.91666666666666663</v>
      </c>
      <c r="E66" t="s">
        <v>26</v>
      </c>
      <c r="F66" t="s">
        <v>17</v>
      </c>
      <c r="G66" t="s">
        <v>18</v>
      </c>
      <c r="H66">
        <v>1.21976</v>
      </c>
      <c r="I66">
        <v>1.2216100000000001</v>
      </c>
      <c r="J66">
        <v>1.21922</v>
      </c>
      <c r="K66">
        <v>2</v>
      </c>
      <c r="L66">
        <v>3.43</v>
      </c>
      <c r="M66">
        <v>-1</v>
      </c>
      <c r="N66" t="s">
        <v>22</v>
      </c>
      <c r="O66" t="s">
        <v>20</v>
      </c>
      <c r="P66">
        <f>SUM($M$2:M66)</f>
        <v>44.879999999999988</v>
      </c>
      <c r="Q66">
        <f t="shared" ref="Q66:Q97" si="4">MAX(Q65,P66)</f>
        <v>46.879999999999988</v>
      </c>
      <c r="R66">
        <f t="shared" ref="R66:R97" si="5">P66-Q66</f>
        <v>-2</v>
      </c>
      <c r="S66" t="str">
        <f>TEXT(TradingData[[#This Row],[Cleaned_Date]], "dddd")</f>
        <v>Tuesday</v>
      </c>
      <c r="T66" t="str">
        <f>TEXT(TradingData[[#This Row],[Cleaned_Date]], "mmm")</f>
        <v>Jan</v>
      </c>
    </row>
    <row r="67" spans="1:20" x14ac:dyDescent="0.25">
      <c r="A67">
        <v>66</v>
      </c>
      <c r="B67" s="2">
        <v>45678</v>
      </c>
      <c r="C67" t="s">
        <v>15</v>
      </c>
      <c r="D67" s="1">
        <v>0.15625</v>
      </c>
      <c r="E67" t="s">
        <v>26</v>
      </c>
      <c r="F67" t="s">
        <v>17</v>
      </c>
      <c r="G67" t="s">
        <v>18</v>
      </c>
      <c r="H67">
        <v>1.2257100000000001</v>
      </c>
      <c r="I67">
        <v>1.2344599999999999</v>
      </c>
      <c r="J67">
        <v>1.22458</v>
      </c>
      <c r="K67">
        <v>2</v>
      </c>
      <c r="L67">
        <v>7.74</v>
      </c>
      <c r="M67">
        <v>-1</v>
      </c>
      <c r="N67" t="s">
        <v>22</v>
      </c>
      <c r="O67" t="s">
        <v>20</v>
      </c>
      <c r="P67">
        <f>SUM($M$2:M67)</f>
        <v>43.879999999999988</v>
      </c>
      <c r="Q67">
        <f t="shared" si="4"/>
        <v>46.879999999999988</v>
      </c>
      <c r="R67">
        <f t="shared" si="5"/>
        <v>-3</v>
      </c>
      <c r="S67" t="str">
        <f>TEXT(TradingData[[#This Row],[Cleaned_Date]], "dddd")</f>
        <v>Tuesday</v>
      </c>
      <c r="T67" t="str">
        <f>TEXT(TradingData[[#This Row],[Cleaned_Date]], "mmm")</f>
        <v>Jan</v>
      </c>
    </row>
    <row r="68" spans="1:20" x14ac:dyDescent="0.25">
      <c r="A68">
        <v>67</v>
      </c>
      <c r="B68" s="2">
        <v>45678</v>
      </c>
      <c r="C68" t="s">
        <v>15</v>
      </c>
      <c r="D68" s="1">
        <v>0.2326388888888889</v>
      </c>
      <c r="E68" t="s">
        <v>26</v>
      </c>
      <c r="F68" t="s">
        <v>17</v>
      </c>
      <c r="G68" t="s">
        <v>18</v>
      </c>
      <c r="H68">
        <v>1.2256</v>
      </c>
      <c r="I68">
        <v>1.2344599999999999</v>
      </c>
      <c r="J68">
        <v>1.22342</v>
      </c>
      <c r="K68">
        <v>2</v>
      </c>
      <c r="L68">
        <v>4.0599999999999996</v>
      </c>
      <c r="M68">
        <v>-1</v>
      </c>
      <c r="N68" t="s">
        <v>22</v>
      </c>
      <c r="O68" t="s">
        <v>20</v>
      </c>
      <c r="P68">
        <f>SUM($M$2:M68)</f>
        <v>42.879999999999988</v>
      </c>
      <c r="Q68">
        <f t="shared" si="4"/>
        <v>46.879999999999988</v>
      </c>
      <c r="R68">
        <f t="shared" si="5"/>
        <v>-4</v>
      </c>
      <c r="S68" t="str">
        <f>TEXT(TradingData[[#This Row],[Cleaned_Date]], "dddd")</f>
        <v>Tuesday</v>
      </c>
      <c r="T68" t="str">
        <f>TEXT(TradingData[[#This Row],[Cleaned_Date]], "mmm")</f>
        <v>Jan</v>
      </c>
    </row>
    <row r="69" spans="1:20" x14ac:dyDescent="0.25">
      <c r="A69">
        <v>68</v>
      </c>
      <c r="B69" s="2">
        <v>45679</v>
      </c>
      <c r="C69" t="s">
        <v>15</v>
      </c>
      <c r="D69" s="1">
        <v>0.34722222222222221</v>
      </c>
      <c r="E69" t="s">
        <v>26</v>
      </c>
      <c r="F69" t="s">
        <v>17</v>
      </c>
      <c r="G69" t="s">
        <v>21</v>
      </c>
      <c r="H69">
        <v>1.23576</v>
      </c>
      <c r="I69">
        <v>1.23759</v>
      </c>
      <c r="J69">
        <v>1.23445</v>
      </c>
      <c r="K69">
        <v>2</v>
      </c>
      <c r="L69">
        <v>1.4</v>
      </c>
      <c r="M69">
        <v>-1</v>
      </c>
      <c r="N69" t="s">
        <v>22</v>
      </c>
      <c r="O69" t="s">
        <v>20</v>
      </c>
      <c r="P69">
        <f>SUM($M$2:M69)</f>
        <v>41.879999999999988</v>
      </c>
      <c r="Q69">
        <f t="shared" si="4"/>
        <v>46.879999999999988</v>
      </c>
      <c r="R69">
        <f t="shared" si="5"/>
        <v>-5</v>
      </c>
      <c r="S69" t="str">
        <f>TEXT(TradingData[[#This Row],[Cleaned_Date]], "dddd")</f>
        <v>Wednesday</v>
      </c>
      <c r="T69" t="str">
        <f>TEXT(TradingData[[#This Row],[Cleaned_Date]], "mmm")</f>
        <v>Jan</v>
      </c>
    </row>
    <row r="70" spans="1:20" x14ac:dyDescent="0.25">
      <c r="A70">
        <v>69</v>
      </c>
      <c r="B70" s="2">
        <v>45684</v>
      </c>
      <c r="C70" t="s">
        <v>15</v>
      </c>
      <c r="D70" s="1">
        <v>0.13194444444444445</v>
      </c>
      <c r="E70" t="s">
        <v>26</v>
      </c>
      <c r="F70" t="s">
        <v>17</v>
      </c>
      <c r="G70" t="s">
        <v>29</v>
      </c>
      <c r="H70">
        <v>1.24488</v>
      </c>
      <c r="I70">
        <v>1.2501599999999999</v>
      </c>
      <c r="J70">
        <v>1.2425299999999999</v>
      </c>
      <c r="K70">
        <v>2</v>
      </c>
      <c r="L70">
        <v>2.25</v>
      </c>
      <c r="M70">
        <v>2.25</v>
      </c>
      <c r="N70" t="s">
        <v>19</v>
      </c>
      <c r="O70" t="s">
        <v>20</v>
      </c>
      <c r="P70">
        <f>SUM($M$2:M70)</f>
        <v>44.129999999999988</v>
      </c>
      <c r="Q70">
        <f t="shared" si="4"/>
        <v>46.879999999999988</v>
      </c>
      <c r="R70">
        <f t="shared" si="5"/>
        <v>-2.75</v>
      </c>
      <c r="S70" t="str">
        <f>TEXT(TradingData[[#This Row],[Cleaned_Date]], "dddd")</f>
        <v>Monday</v>
      </c>
      <c r="T70" t="str">
        <f>TEXT(TradingData[[#This Row],[Cleaned_Date]], "mmm")</f>
        <v>Jan</v>
      </c>
    </row>
    <row r="71" spans="1:20" x14ac:dyDescent="0.25">
      <c r="A71">
        <v>70</v>
      </c>
      <c r="B71" s="2">
        <v>45685</v>
      </c>
      <c r="C71" t="s">
        <v>15</v>
      </c>
      <c r="D71" s="1">
        <v>0.3125</v>
      </c>
      <c r="E71" t="s">
        <v>26</v>
      </c>
      <c r="F71" t="s">
        <v>17</v>
      </c>
      <c r="G71" t="s">
        <v>29</v>
      </c>
      <c r="H71">
        <v>1.2433700000000001</v>
      </c>
      <c r="I71">
        <v>1.2523200000000001</v>
      </c>
      <c r="J71">
        <v>1.24176</v>
      </c>
      <c r="K71">
        <v>2</v>
      </c>
      <c r="L71">
        <v>5.56</v>
      </c>
      <c r="M71">
        <v>-1</v>
      </c>
      <c r="N71" t="s">
        <v>22</v>
      </c>
      <c r="O71" t="s">
        <v>25</v>
      </c>
      <c r="P71">
        <f>SUM($M$2:M71)</f>
        <v>43.129999999999988</v>
      </c>
      <c r="Q71">
        <f t="shared" si="4"/>
        <v>46.879999999999988</v>
      </c>
      <c r="R71">
        <f t="shared" si="5"/>
        <v>-3.75</v>
      </c>
      <c r="S71" t="str">
        <f>TEXT(TradingData[[#This Row],[Cleaned_Date]], "dddd")</f>
        <v>Tuesday</v>
      </c>
      <c r="T71" t="str">
        <f>TEXT(TradingData[[#This Row],[Cleaned_Date]], "mmm")</f>
        <v>Jan</v>
      </c>
    </row>
    <row r="72" spans="1:20" x14ac:dyDescent="0.25">
      <c r="A72">
        <v>71</v>
      </c>
      <c r="B72" s="2">
        <v>45686</v>
      </c>
      <c r="C72" t="s">
        <v>15</v>
      </c>
      <c r="D72" s="1">
        <v>0.10416666666666667</v>
      </c>
      <c r="E72" t="s">
        <v>16</v>
      </c>
      <c r="F72" t="s">
        <v>17</v>
      </c>
      <c r="G72" t="s">
        <v>27</v>
      </c>
      <c r="H72">
        <v>1.2449300000000001</v>
      </c>
      <c r="I72">
        <v>1.2414000000000001</v>
      </c>
      <c r="J72">
        <v>1.24627</v>
      </c>
      <c r="K72">
        <v>2</v>
      </c>
      <c r="L72">
        <v>2.63</v>
      </c>
      <c r="M72">
        <v>2.63</v>
      </c>
      <c r="N72" t="s">
        <v>19</v>
      </c>
      <c r="O72" t="s">
        <v>20</v>
      </c>
      <c r="P72">
        <f>SUM($M$2:M72)</f>
        <v>45.759999999999991</v>
      </c>
      <c r="Q72">
        <f t="shared" si="4"/>
        <v>46.879999999999988</v>
      </c>
      <c r="R72">
        <f t="shared" si="5"/>
        <v>-1.1199999999999974</v>
      </c>
      <c r="S72" t="str">
        <f>TEXT(TradingData[[#This Row],[Cleaned_Date]], "dddd")</f>
        <v>Wednesday</v>
      </c>
      <c r="T72" t="str">
        <f>TEXT(TradingData[[#This Row],[Cleaned_Date]], "mmm")</f>
        <v>Jan</v>
      </c>
    </row>
    <row r="73" spans="1:20" x14ac:dyDescent="0.25">
      <c r="A73">
        <v>72</v>
      </c>
      <c r="B73" s="2">
        <v>45687</v>
      </c>
      <c r="C73" t="s">
        <v>15</v>
      </c>
      <c r="D73" s="1">
        <v>0.66666666666666663</v>
      </c>
      <c r="E73" t="s">
        <v>16</v>
      </c>
      <c r="F73" t="s">
        <v>17</v>
      </c>
      <c r="G73" t="s">
        <v>24</v>
      </c>
      <c r="H73">
        <v>1.2436799999999999</v>
      </c>
      <c r="I73">
        <v>1.2392799999999999</v>
      </c>
      <c r="J73">
        <v>1.2476700000000001</v>
      </c>
      <c r="K73">
        <v>2</v>
      </c>
      <c r="L73">
        <v>1.1000000000000001</v>
      </c>
      <c r="M73">
        <v>1.1000000000000001</v>
      </c>
      <c r="N73" t="s">
        <v>19</v>
      </c>
      <c r="O73" t="s">
        <v>20</v>
      </c>
      <c r="P73">
        <f>SUM($M$2:M73)</f>
        <v>46.859999999999992</v>
      </c>
      <c r="Q73">
        <f t="shared" si="4"/>
        <v>46.879999999999988</v>
      </c>
      <c r="R73">
        <f t="shared" si="5"/>
        <v>-1.9999999999996021E-2</v>
      </c>
      <c r="S73" t="str">
        <f>TEXT(TradingData[[#This Row],[Cleaned_Date]], "dddd")</f>
        <v>Thursday</v>
      </c>
      <c r="T73" t="str">
        <f>TEXT(TradingData[[#This Row],[Cleaned_Date]], "mmm")</f>
        <v>Jan</v>
      </c>
    </row>
    <row r="74" spans="1:20" x14ac:dyDescent="0.25">
      <c r="A74">
        <v>73</v>
      </c>
      <c r="B74" s="2">
        <v>45692</v>
      </c>
      <c r="C74" t="s">
        <v>15</v>
      </c>
      <c r="D74" s="1">
        <v>9.0277777777777776E-2</v>
      </c>
      <c r="E74" t="s">
        <v>26</v>
      </c>
      <c r="F74" t="s">
        <v>23</v>
      </c>
      <c r="G74" t="s">
        <v>27</v>
      </c>
      <c r="H74">
        <v>1.24125</v>
      </c>
      <c r="I74">
        <v>1.2455099999999999</v>
      </c>
      <c r="J74">
        <v>1.23783</v>
      </c>
      <c r="K74">
        <v>2</v>
      </c>
      <c r="L74">
        <v>1.25</v>
      </c>
      <c r="M74">
        <v>1.25</v>
      </c>
      <c r="N74" t="s">
        <v>19</v>
      </c>
      <c r="O74" t="s">
        <v>20</v>
      </c>
      <c r="P74">
        <f>SUM($M$2:M74)</f>
        <v>48.109999999999992</v>
      </c>
      <c r="Q74">
        <f t="shared" si="4"/>
        <v>48.109999999999992</v>
      </c>
      <c r="R74">
        <f t="shared" si="5"/>
        <v>0</v>
      </c>
      <c r="S74" t="str">
        <f>TEXT(TradingData[[#This Row],[Cleaned_Date]], "dddd")</f>
        <v>Tuesday</v>
      </c>
      <c r="T74" t="str">
        <f>TEXT(TradingData[[#This Row],[Cleaned_Date]], "mmm")</f>
        <v>Feb</v>
      </c>
    </row>
    <row r="75" spans="1:20" x14ac:dyDescent="0.25">
      <c r="A75">
        <v>74</v>
      </c>
      <c r="B75" s="2">
        <v>45694</v>
      </c>
      <c r="C75" t="s">
        <v>15</v>
      </c>
      <c r="D75" s="1">
        <v>0.59375</v>
      </c>
      <c r="E75" t="s">
        <v>16</v>
      </c>
      <c r="F75" t="s">
        <v>17</v>
      </c>
      <c r="G75" t="s">
        <v>27</v>
      </c>
      <c r="H75">
        <v>1.24393</v>
      </c>
      <c r="I75">
        <v>1.2359599999999999</v>
      </c>
      <c r="J75">
        <v>1.24552</v>
      </c>
      <c r="K75">
        <v>2</v>
      </c>
      <c r="L75">
        <v>5.01</v>
      </c>
      <c r="M75">
        <v>-1</v>
      </c>
      <c r="N75" t="s">
        <v>22</v>
      </c>
      <c r="O75" t="s">
        <v>25</v>
      </c>
      <c r="P75">
        <f>SUM($M$2:M75)</f>
        <v>47.109999999999992</v>
      </c>
      <c r="Q75">
        <f t="shared" si="4"/>
        <v>48.109999999999992</v>
      </c>
      <c r="R75">
        <f t="shared" si="5"/>
        <v>-1</v>
      </c>
      <c r="S75" t="str">
        <f>TEXT(TradingData[[#This Row],[Cleaned_Date]], "dddd")</f>
        <v>Thursday</v>
      </c>
      <c r="T75" t="str">
        <f>TEXT(TradingData[[#This Row],[Cleaned_Date]], "mmm")</f>
        <v>Feb</v>
      </c>
    </row>
    <row r="76" spans="1:20" x14ac:dyDescent="0.25">
      <c r="A76">
        <v>75</v>
      </c>
      <c r="B76" s="2">
        <v>45695</v>
      </c>
      <c r="C76" t="s">
        <v>15</v>
      </c>
      <c r="D76" s="1">
        <v>0.32291666666666669</v>
      </c>
      <c r="E76" t="s">
        <v>16</v>
      </c>
      <c r="F76" t="s">
        <v>17</v>
      </c>
      <c r="G76" t="s">
        <v>27</v>
      </c>
      <c r="H76">
        <v>1.2441199999999999</v>
      </c>
      <c r="I76">
        <v>1.2359599999999999</v>
      </c>
      <c r="J76">
        <v>1.24681</v>
      </c>
      <c r="K76">
        <v>2</v>
      </c>
      <c r="L76">
        <v>3.03</v>
      </c>
      <c r="M76">
        <v>-1</v>
      </c>
      <c r="N76" t="s">
        <v>22</v>
      </c>
      <c r="O76" t="s">
        <v>25</v>
      </c>
      <c r="P76">
        <f>SUM($M$2:M76)</f>
        <v>46.109999999999992</v>
      </c>
      <c r="Q76">
        <f t="shared" si="4"/>
        <v>48.109999999999992</v>
      </c>
      <c r="R76">
        <f t="shared" si="5"/>
        <v>-2</v>
      </c>
      <c r="S76" t="str">
        <f>TEXT(TradingData[[#This Row],[Cleaned_Date]], "dddd")</f>
        <v>Friday</v>
      </c>
      <c r="T76" t="str">
        <f>TEXT(TradingData[[#This Row],[Cleaned_Date]], "mmm")</f>
        <v>Feb</v>
      </c>
    </row>
    <row r="77" spans="1:20" x14ac:dyDescent="0.25">
      <c r="A77">
        <v>76</v>
      </c>
      <c r="B77" s="2">
        <v>45699</v>
      </c>
      <c r="C77" t="s">
        <v>15</v>
      </c>
      <c r="D77" s="1">
        <v>7.9861111111111105E-2</v>
      </c>
      <c r="E77" t="s">
        <v>16</v>
      </c>
      <c r="F77" t="s">
        <v>23</v>
      </c>
      <c r="G77" t="s">
        <v>27</v>
      </c>
      <c r="H77">
        <v>1.23577</v>
      </c>
      <c r="I77">
        <v>1.23445</v>
      </c>
      <c r="J77">
        <v>1.2365999999999999</v>
      </c>
      <c r="K77">
        <v>2</v>
      </c>
      <c r="L77">
        <v>1.59</v>
      </c>
      <c r="M77">
        <v>1.59</v>
      </c>
      <c r="N77" t="s">
        <v>19</v>
      </c>
      <c r="O77" t="s">
        <v>20</v>
      </c>
      <c r="P77">
        <f>SUM($M$2:M77)</f>
        <v>47.699999999999996</v>
      </c>
      <c r="Q77">
        <f t="shared" si="4"/>
        <v>48.109999999999992</v>
      </c>
      <c r="R77">
        <f t="shared" si="5"/>
        <v>-0.40999999999999659</v>
      </c>
      <c r="S77" t="str">
        <f>TEXT(TradingData[[#This Row],[Cleaned_Date]], "dddd")</f>
        <v>Tuesday</v>
      </c>
      <c r="T77" t="str">
        <f>TEXT(TradingData[[#This Row],[Cleaned_Date]], "mmm")</f>
        <v>Feb</v>
      </c>
    </row>
    <row r="78" spans="1:20" x14ac:dyDescent="0.25">
      <c r="A78">
        <v>77</v>
      </c>
      <c r="B78" s="2">
        <v>45699</v>
      </c>
      <c r="C78" t="s">
        <v>15</v>
      </c>
      <c r="D78" s="1">
        <v>0.92013888888888884</v>
      </c>
      <c r="E78" t="s">
        <v>16</v>
      </c>
      <c r="F78" t="s">
        <v>17</v>
      </c>
      <c r="G78" t="s">
        <v>24</v>
      </c>
      <c r="H78">
        <v>1.2449600000000001</v>
      </c>
      <c r="I78">
        <v>1.2332099999999999</v>
      </c>
      <c r="J78">
        <v>1.2458400000000001</v>
      </c>
      <c r="K78">
        <v>2</v>
      </c>
      <c r="L78">
        <v>13.35</v>
      </c>
      <c r="M78">
        <v>-1</v>
      </c>
      <c r="N78" t="s">
        <v>22</v>
      </c>
      <c r="O78" t="s">
        <v>20</v>
      </c>
      <c r="P78">
        <f>SUM($M$2:M78)</f>
        <v>46.699999999999996</v>
      </c>
      <c r="Q78">
        <f t="shared" si="4"/>
        <v>48.109999999999992</v>
      </c>
      <c r="R78">
        <f t="shared" si="5"/>
        <v>-1.4099999999999966</v>
      </c>
      <c r="S78" t="str">
        <f>TEXT(TradingData[[#This Row],[Cleaned_Date]], "dddd")</f>
        <v>Tuesday</v>
      </c>
      <c r="T78" t="str">
        <f>TEXT(TradingData[[#This Row],[Cleaned_Date]], "mmm")</f>
        <v>Feb</v>
      </c>
    </row>
    <row r="79" spans="1:20" x14ac:dyDescent="0.25">
      <c r="A79">
        <v>78</v>
      </c>
      <c r="B79" s="2">
        <v>45700</v>
      </c>
      <c r="C79" t="s">
        <v>15</v>
      </c>
      <c r="D79" s="1">
        <v>0.15972222222222221</v>
      </c>
      <c r="E79" t="s">
        <v>16</v>
      </c>
      <c r="F79" t="s">
        <v>17</v>
      </c>
      <c r="G79" t="s">
        <v>24</v>
      </c>
      <c r="H79">
        <v>1.24427</v>
      </c>
      <c r="I79">
        <v>1.2332099999999999</v>
      </c>
      <c r="J79">
        <v>1.2465200000000001</v>
      </c>
      <c r="K79">
        <v>2</v>
      </c>
      <c r="L79">
        <v>4.92</v>
      </c>
      <c r="M79">
        <v>-1</v>
      </c>
      <c r="N79" t="s">
        <v>22</v>
      </c>
      <c r="O79" t="s">
        <v>25</v>
      </c>
      <c r="P79">
        <f>SUM($M$2:M79)</f>
        <v>45.699999999999996</v>
      </c>
      <c r="Q79">
        <f t="shared" si="4"/>
        <v>48.109999999999992</v>
      </c>
      <c r="R79">
        <f t="shared" si="5"/>
        <v>-2.4099999999999966</v>
      </c>
      <c r="S79" t="str">
        <f>TEXT(TradingData[[#This Row],[Cleaned_Date]], "dddd")</f>
        <v>Wednesday</v>
      </c>
      <c r="T79" t="str">
        <f>TEXT(TradingData[[#This Row],[Cleaned_Date]], "mmm")</f>
        <v>Feb</v>
      </c>
    </row>
    <row r="80" spans="1:20" x14ac:dyDescent="0.25">
      <c r="A80">
        <v>79</v>
      </c>
      <c r="B80" s="2">
        <v>45700</v>
      </c>
      <c r="C80" t="s">
        <v>15</v>
      </c>
      <c r="D80" s="1">
        <v>0.56944444444444442</v>
      </c>
      <c r="E80" t="s">
        <v>16</v>
      </c>
      <c r="F80" t="s">
        <v>17</v>
      </c>
      <c r="G80" t="s">
        <v>24</v>
      </c>
      <c r="H80">
        <v>1.2450600000000001</v>
      </c>
      <c r="I80">
        <v>1.2332099999999999</v>
      </c>
      <c r="J80">
        <v>1.24831</v>
      </c>
      <c r="K80">
        <v>2</v>
      </c>
      <c r="L80">
        <v>3.65</v>
      </c>
      <c r="M80">
        <v>-1</v>
      </c>
      <c r="N80" t="s">
        <v>22</v>
      </c>
      <c r="O80" t="s">
        <v>25</v>
      </c>
      <c r="P80">
        <f>SUM($M$2:M80)</f>
        <v>44.699999999999996</v>
      </c>
      <c r="Q80">
        <f t="shared" si="4"/>
        <v>48.109999999999992</v>
      </c>
      <c r="R80">
        <f t="shared" si="5"/>
        <v>-3.4099999999999966</v>
      </c>
      <c r="S80" t="str">
        <f>TEXT(TradingData[[#This Row],[Cleaned_Date]], "dddd")</f>
        <v>Wednesday</v>
      </c>
      <c r="T80" t="str">
        <f>TEXT(TradingData[[#This Row],[Cleaned_Date]], "mmm")</f>
        <v>Feb</v>
      </c>
    </row>
    <row r="81" spans="1:20" x14ac:dyDescent="0.25">
      <c r="A81">
        <v>80</v>
      </c>
      <c r="B81" s="2">
        <v>45702</v>
      </c>
      <c r="C81" t="s">
        <v>15</v>
      </c>
      <c r="D81" s="1">
        <v>0.31944444444444442</v>
      </c>
      <c r="E81" t="s">
        <v>26</v>
      </c>
      <c r="F81" t="s">
        <v>23</v>
      </c>
      <c r="G81" t="s">
        <v>18</v>
      </c>
      <c r="H81">
        <v>1.2579499999999999</v>
      </c>
      <c r="I81">
        <v>1.25956</v>
      </c>
      <c r="J81">
        <v>1.2571399999999999</v>
      </c>
      <c r="K81">
        <v>2</v>
      </c>
      <c r="L81">
        <v>1.99</v>
      </c>
      <c r="M81">
        <v>1.99</v>
      </c>
      <c r="N81" t="s">
        <v>19</v>
      </c>
      <c r="O81" t="s">
        <v>25</v>
      </c>
      <c r="P81">
        <f>SUM($M$2:M81)</f>
        <v>46.69</v>
      </c>
      <c r="Q81">
        <f t="shared" si="4"/>
        <v>48.109999999999992</v>
      </c>
      <c r="R81">
        <f t="shared" si="5"/>
        <v>-1.4199999999999946</v>
      </c>
      <c r="S81" t="str">
        <f>TEXT(TradingData[[#This Row],[Cleaned_Date]], "dddd")</f>
        <v>Friday</v>
      </c>
      <c r="T81" t="str">
        <f>TEXT(TradingData[[#This Row],[Cleaned_Date]], "mmm")</f>
        <v>Feb</v>
      </c>
    </row>
    <row r="82" spans="1:20" x14ac:dyDescent="0.25">
      <c r="A82">
        <v>81</v>
      </c>
      <c r="B82" s="2">
        <v>45707</v>
      </c>
      <c r="C82" t="s">
        <v>15</v>
      </c>
      <c r="D82" s="1">
        <v>0.86111111111111116</v>
      </c>
      <c r="E82" t="s">
        <v>16</v>
      </c>
      <c r="F82" t="s">
        <v>23</v>
      </c>
      <c r="G82" t="s">
        <v>27</v>
      </c>
      <c r="H82">
        <v>1.2584200000000001</v>
      </c>
      <c r="I82">
        <v>1.2562800000000001</v>
      </c>
      <c r="J82">
        <v>1.25939</v>
      </c>
      <c r="K82">
        <v>2</v>
      </c>
      <c r="L82">
        <v>2.21</v>
      </c>
      <c r="M82">
        <v>-1</v>
      </c>
      <c r="N82" t="s">
        <v>22</v>
      </c>
      <c r="O82" t="s">
        <v>20</v>
      </c>
      <c r="P82">
        <f>SUM($M$2:M82)</f>
        <v>45.69</v>
      </c>
      <c r="Q82">
        <f t="shared" si="4"/>
        <v>48.109999999999992</v>
      </c>
      <c r="R82">
        <f t="shared" si="5"/>
        <v>-2.4199999999999946</v>
      </c>
      <c r="S82" t="str">
        <f>TEXT(TradingData[[#This Row],[Cleaned_Date]], "dddd")</f>
        <v>Wednesday</v>
      </c>
      <c r="T82" t="str">
        <f>TEXT(TradingData[[#This Row],[Cleaned_Date]], "mmm")</f>
        <v>Feb</v>
      </c>
    </row>
    <row r="83" spans="1:20" x14ac:dyDescent="0.25">
      <c r="A83">
        <v>82</v>
      </c>
      <c r="B83" s="2">
        <v>45708</v>
      </c>
      <c r="C83" t="s">
        <v>15</v>
      </c>
      <c r="D83" s="1">
        <v>0.32291666666666669</v>
      </c>
      <c r="E83" t="s">
        <v>26</v>
      </c>
      <c r="F83" t="s">
        <v>23</v>
      </c>
      <c r="G83" t="s">
        <v>18</v>
      </c>
      <c r="H83">
        <v>1.2607299999999999</v>
      </c>
      <c r="I83">
        <v>1.2619400000000001</v>
      </c>
      <c r="J83">
        <v>1.25997</v>
      </c>
      <c r="K83">
        <v>2</v>
      </c>
      <c r="L83">
        <v>1.59</v>
      </c>
      <c r="M83">
        <v>-1</v>
      </c>
      <c r="N83" t="s">
        <v>22</v>
      </c>
      <c r="O83" t="s">
        <v>25</v>
      </c>
      <c r="P83">
        <f>SUM($M$2:M83)</f>
        <v>44.69</v>
      </c>
      <c r="Q83">
        <f t="shared" si="4"/>
        <v>48.109999999999992</v>
      </c>
      <c r="R83">
        <f t="shared" si="5"/>
        <v>-3.4199999999999946</v>
      </c>
      <c r="S83" t="str">
        <f>TEXT(TradingData[[#This Row],[Cleaned_Date]], "dddd")</f>
        <v>Thursday</v>
      </c>
      <c r="T83" t="str">
        <f>TEXT(TradingData[[#This Row],[Cleaned_Date]], "mmm")</f>
        <v>Feb</v>
      </c>
    </row>
    <row r="84" spans="1:20" x14ac:dyDescent="0.25">
      <c r="A84">
        <v>83</v>
      </c>
      <c r="B84" s="2">
        <v>45712</v>
      </c>
      <c r="C84" t="s">
        <v>15</v>
      </c>
      <c r="D84" s="1">
        <v>0.59375</v>
      </c>
      <c r="E84" t="s">
        <v>16</v>
      </c>
      <c r="F84" t="s">
        <v>23</v>
      </c>
      <c r="G84" t="s">
        <v>27</v>
      </c>
      <c r="H84">
        <v>1.2638199999999999</v>
      </c>
      <c r="I84">
        <v>1.26115</v>
      </c>
      <c r="J84">
        <v>1.2650399999999999</v>
      </c>
      <c r="K84">
        <v>2</v>
      </c>
      <c r="L84">
        <v>2.19</v>
      </c>
      <c r="M84">
        <v>2.19</v>
      </c>
      <c r="N84" t="s">
        <v>19</v>
      </c>
      <c r="O84" t="s">
        <v>25</v>
      </c>
      <c r="P84">
        <f>SUM($M$2:M84)</f>
        <v>46.879999999999995</v>
      </c>
      <c r="Q84">
        <f t="shared" si="4"/>
        <v>48.109999999999992</v>
      </c>
      <c r="R84">
        <f t="shared" si="5"/>
        <v>-1.2299999999999969</v>
      </c>
      <c r="S84" t="str">
        <f>TEXT(TradingData[[#This Row],[Cleaned_Date]], "dddd")</f>
        <v>Monday</v>
      </c>
      <c r="T84" t="str">
        <f>TEXT(TradingData[[#This Row],[Cleaned_Date]], "mmm")</f>
        <v>Feb</v>
      </c>
    </row>
    <row r="85" spans="1:20" x14ac:dyDescent="0.25">
      <c r="A85">
        <v>84</v>
      </c>
      <c r="B85" s="2">
        <v>45713</v>
      </c>
      <c r="C85" t="s">
        <v>15</v>
      </c>
      <c r="D85" s="1">
        <v>0.52777777777777779</v>
      </c>
      <c r="E85" t="s">
        <v>26</v>
      </c>
      <c r="F85" t="s">
        <v>23</v>
      </c>
      <c r="G85" t="s">
        <v>27</v>
      </c>
      <c r="H85">
        <v>1.26555</v>
      </c>
      <c r="I85">
        <v>1.26772</v>
      </c>
      <c r="J85">
        <v>1.2640100000000001</v>
      </c>
      <c r="K85">
        <v>2</v>
      </c>
      <c r="L85">
        <v>1.41</v>
      </c>
      <c r="M85">
        <v>1.41</v>
      </c>
      <c r="N85" t="s">
        <v>19</v>
      </c>
      <c r="O85" t="s">
        <v>25</v>
      </c>
      <c r="P85">
        <f>SUM($M$2:M85)</f>
        <v>48.289999999999992</v>
      </c>
      <c r="Q85">
        <f t="shared" si="4"/>
        <v>48.289999999999992</v>
      </c>
      <c r="R85">
        <f t="shared" si="5"/>
        <v>0</v>
      </c>
      <c r="S85" t="str">
        <f>TEXT(TradingData[[#This Row],[Cleaned_Date]], "dddd")</f>
        <v>Tuesday</v>
      </c>
      <c r="T85" t="str">
        <f>TEXT(TradingData[[#This Row],[Cleaned_Date]], "mmm")</f>
        <v>Feb</v>
      </c>
    </row>
    <row r="86" spans="1:20" x14ac:dyDescent="0.25">
      <c r="A86">
        <v>85</v>
      </c>
      <c r="B86" s="2">
        <v>45714</v>
      </c>
      <c r="C86" t="s">
        <v>15</v>
      </c>
      <c r="D86" s="1">
        <v>8.3333333333333329E-2</v>
      </c>
      <c r="E86" t="s">
        <v>26</v>
      </c>
      <c r="F86" t="s">
        <v>23</v>
      </c>
      <c r="G86" t="s">
        <v>27</v>
      </c>
      <c r="H86">
        <v>1.26492</v>
      </c>
      <c r="I86">
        <v>1.26772</v>
      </c>
      <c r="J86">
        <v>1.2634700000000001</v>
      </c>
      <c r="K86">
        <v>2</v>
      </c>
      <c r="L86">
        <v>1.93</v>
      </c>
      <c r="M86">
        <v>1.93</v>
      </c>
      <c r="N86" t="s">
        <v>19</v>
      </c>
      <c r="O86" t="s">
        <v>20</v>
      </c>
      <c r="P86">
        <f>SUM($M$2:M86)</f>
        <v>50.219999999999992</v>
      </c>
      <c r="Q86">
        <f t="shared" si="4"/>
        <v>50.219999999999992</v>
      </c>
      <c r="R86">
        <f t="shared" si="5"/>
        <v>0</v>
      </c>
      <c r="S86" t="str">
        <f>TEXT(TradingData[[#This Row],[Cleaned_Date]], "dddd")</f>
        <v>Wednesday</v>
      </c>
      <c r="T86" t="str">
        <f>TEXT(TradingData[[#This Row],[Cleaned_Date]], "mmm")</f>
        <v>Feb</v>
      </c>
    </row>
    <row r="87" spans="1:20" x14ac:dyDescent="0.25">
      <c r="A87">
        <v>86</v>
      </c>
      <c r="B87" s="2">
        <v>45715</v>
      </c>
      <c r="C87" t="s">
        <v>15</v>
      </c>
      <c r="D87" s="1">
        <v>0.33333333333333331</v>
      </c>
      <c r="E87" t="s">
        <v>16</v>
      </c>
      <c r="F87" t="s">
        <v>23</v>
      </c>
      <c r="G87" t="s">
        <v>24</v>
      </c>
      <c r="H87">
        <v>1.2672300000000001</v>
      </c>
      <c r="I87">
        <v>1.2649600000000001</v>
      </c>
      <c r="J87">
        <v>1.2688699999999999</v>
      </c>
      <c r="K87">
        <v>2</v>
      </c>
      <c r="L87">
        <v>1.38</v>
      </c>
      <c r="M87">
        <v>1.38</v>
      </c>
      <c r="N87" t="s">
        <v>19</v>
      </c>
      <c r="O87" t="s">
        <v>25</v>
      </c>
      <c r="P87">
        <f>SUM($M$2:M87)</f>
        <v>51.599999999999994</v>
      </c>
      <c r="Q87">
        <f t="shared" si="4"/>
        <v>51.599999999999994</v>
      </c>
      <c r="R87">
        <f t="shared" si="5"/>
        <v>0</v>
      </c>
      <c r="S87" t="str">
        <f>TEXT(TradingData[[#This Row],[Cleaned_Date]], "dddd")</f>
        <v>Thursday</v>
      </c>
      <c r="T87" t="str">
        <f>TEXT(TradingData[[#This Row],[Cleaned_Date]], "mmm")</f>
        <v>Feb</v>
      </c>
    </row>
    <row r="88" spans="1:20" x14ac:dyDescent="0.25">
      <c r="A88">
        <v>87</v>
      </c>
      <c r="B88" s="2">
        <v>45716</v>
      </c>
      <c r="C88" t="s">
        <v>15</v>
      </c>
      <c r="D88" s="1">
        <v>0.44791666666666669</v>
      </c>
      <c r="E88" t="s">
        <v>16</v>
      </c>
      <c r="F88" t="s">
        <v>23</v>
      </c>
      <c r="G88" t="s">
        <v>24</v>
      </c>
      <c r="H88">
        <v>1.2599</v>
      </c>
      <c r="I88">
        <v>1.2572399999999999</v>
      </c>
      <c r="J88">
        <v>1.26214</v>
      </c>
      <c r="K88">
        <v>2</v>
      </c>
      <c r="L88">
        <v>1.19</v>
      </c>
      <c r="M88">
        <v>1.19</v>
      </c>
      <c r="N88" t="s">
        <v>19</v>
      </c>
      <c r="O88" t="s">
        <v>25</v>
      </c>
      <c r="P88">
        <f>SUM($M$2:M88)</f>
        <v>52.789999999999992</v>
      </c>
      <c r="Q88">
        <f t="shared" si="4"/>
        <v>52.789999999999992</v>
      </c>
      <c r="R88">
        <f t="shared" si="5"/>
        <v>0</v>
      </c>
      <c r="S88" t="str">
        <f>TEXT(TradingData[[#This Row],[Cleaned_Date]], "dddd")</f>
        <v>Friday</v>
      </c>
      <c r="T88" t="str">
        <f>TEXT(TradingData[[#This Row],[Cleaned_Date]], "mmm")</f>
        <v>Feb</v>
      </c>
    </row>
    <row r="89" spans="1:20" x14ac:dyDescent="0.25">
      <c r="A89">
        <v>88</v>
      </c>
      <c r="B89" s="2">
        <v>45720</v>
      </c>
      <c r="C89" t="s">
        <v>15</v>
      </c>
      <c r="D89" s="1">
        <v>0.2326388888888889</v>
      </c>
      <c r="E89" t="s">
        <v>26</v>
      </c>
      <c r="F89" t="s">
        <v>23</v>
      </c>
      <c r="G89" t="s">
        <v>27</v>
      </c>
      <c r="H89">
        <v>1.2717499999999999</v>
      </c>
      <c r="I89">
        <v>1.2740400000000001</v>
      </c>
      <c r="J89">
        <v>1.2703800000000001</v>
      </c>
      <c r="K89">
        <v>2</v>
      </c>
      <c r="L89">
        <v>1.67</v>
      </c>
      <c r="M89">
        <v>1.67</v>
      </c>
      <c r="N89" t="s">
        <v>19</v>
      </c>
      <c r="O89" t="s">
        <v>20</v>
      </c>
      <c r="P89">
        <f>SUM($M$2:M89)</f>
        <v>54.459999999999994</v>
      </c>
      <c r="Q89">
        <f t="shared" si="4"/>
        <v>54.459999999999994</v>
      </c>
      <c r="R89">
        <f t="shared" si="5"/>
        <v>0</v>
      </c>
      <c r="S89" t="str">
        <f>TEXT(TradingData[[#This Row],[Cleaned_Date]], "dddd")</f>
        <v>Tuesday</v>
      </c>
      <c r="T89" t="str">
        <f>TEXT(TradingData[[#This Row],[Cleaned_Date]], "mmm")</f>
        <v>Mar</v>
      </c>
    </row>
    <row r="90" spans="1:20" x14ac:dyDescent="0.25">
      <c r="A90">
        <v>89</v>
      </c>
      <c r="B90" s="2">
        <v>45720</v>
      </c>
      <c r="C90" t="s">
        <v>15</v>
      </c>
      <c r="D90" s="1">
        <v>0.44444444444444442</v>
      </c>
      <c r="E90" t="s">
        <v>26</v>
      </c>
      <c r="F90" t="s">
        <v>23</v>
      </c>
      <c r="G90" t="s">
        <v>24</v>
      </c>
      <c r="H90">
        <v>1.2719</v>
      </c>
      <c r="I90">
        <v>1.2753399999999999</v>
      </c>
      <c r="J90">
        <v>1.2699</v>
      </c>
      <c r="K90">
        <v>2</v>
      </c>
      <c r="L90">
        <v>1.72</v>
      </c>
      <c r="M90">
        <v>1.72</v>
      </c>
      <c r="N90" t="s">
        <v>19</v>
      </c>
      <c r="O90" t="s">
        <v>20</v>
      </c>
      <c r="P90">
        <f>SUM($M$2:M90)</f>
        <v>56.179999999999993</v>
      </c>
      <c r="Q90">
        <f t="shared" si="4"/>
        <v>56.179999999999993</v>
      </c>
      <c r="R90">
        <f t="shared" si="5"/>
        <v>0</v>
      </c>
      <c r="S90" t="str">
        <f>TEXT(TradingData[[#This Row],[Cleaned_Date]], "dddd")</f>
        <v>Tuesday</v>
      </c>
      <c r="T90" t="str">
        <f>TEXT(TradingData[[#This Row],[Cleaned_Date]], "mmm")</f>
        <v>Mar</v>
      </c>
    </row>
    <row r="91" spans="1:20" x14ac:dyDescent="0.25">
      <c r="A91">
        <v>90</v>
      </c>
      <c r="B91" s="2">
        <v>45726</v>
      </c>
      <c r="C91" t="s">
        <v>15</v>
      </c>
      <c r="D91" s="1">
        <v>0.69097222222222221</v>
      </c>
      <c r="E91" t="s">
        <v>16</v>
      </c>
      <c r="F91" t="s">
        <v>23</v>
      </c>
      <c r="G91" t="s">
        <v>21</v>
      </c>
      <c r="H91">
        <v>1.2870299999999999</v>
      </c>
      <c r="I91">
        <v>1.28609</v>
      </c>
      <c r="J91">
        <v>1.2879100000000001</v>
      </c>
      <c r="K91">
        <v>2</v>
      </c>
      <c r="L91">
        <v>1.07</v>
      </c>
      <c r="M91">
        <v>-1</v>
      </c>
      <c r="N91" t="s">
        <v>22</v>
      </c>
      <c r="O91" t="s">
        <v>20</v>
      </c>
      <c r="P91">
        <f>SUM($M$2:M91)</f>
        <v>55.179999999999993</v>
      </c>
      <c r="Q91">
        <f t="shared" si="4"/>
        <v>56.179999999999993</v>
      </c>
      <c r="R91">
        <f t="shared" si="5"/>
        <v>-1</v>
      </c>
      <c r="S91" t="str">
        <f>TEXT(TradingData[[#This Row],[Cleaned_Date]], "dddd")</f>
        <v>Monday</v>
      </c>
      <c r="T91" t="str">
        <f>TEXT(TradingData[[#This Row],[Cleaned_Date]], "mmm")</f>
        <v>Mar</v>
      </c>
    </row>
    <row r="92" spans="1:20" x14ac:dyDescent="0.25">
      <c r="A92">
        <v>91</v>
      </c>
      <c r="B92" s="2">
        <v>45726</v>
      </c>
      <c r="C92" t="s">
        <v>15</v>
      </c>
      <c r="D92" s="1">
        <v>0.80208333333333337</v>
      </c>
      <c r="E92" t="s">
        <v>16</v>
      </c>
      <c r="F92" t="s">
        <v>23</v>
      </c>
      <c r="G92" t="s">
        <v>21</v>
      </c>
      <c r="H92">
        <v>1.2871900000000001</v>
      </c>
      <c r="I92">
        <v>1.28609</v>
      </c>
      <c r="J92">
        <v>1.28807</v>
      </c>
      <c r="K92">
        <v>2</v>
      </c>
      <c r="L92">
        <v>1.25</v>
      </c>
      <c r="M92">
        <v>-1</v>
      </c>
      <c r="N92" t="s">
        <v>22</v>
      </c>
      <c r="O92" t="s">
        <v>20</v>
      </c>
      <c r="P92">
        <f>SUM($M$2:M92)</f>
        <v>54.179999999999993</v>
      </c>
      <c r="Q92">
        <f t="shared" si="4"/>
        <v>56.179999999999993</v>
      </c>
      <c r="R92">
        <f t="shared" si="5"/>
        <v>-2</v>
      </c>
      <c r="S92" t="str">
        <f>TEXT(TradingData[[#This Row],[Cleaned_Date]], "dddd")</f>
        <v>Monday</v>
      </c>
      <c r="T92" t="str">
        <f>TEXT(TradingData[[#This Row],[Cleaned_Date]], "mmm")</f>
        <v>Mar</v>
      </c>
    </row>
    <row r="93" spans="1:20" x14ac:dyDescent="0.25">
      <c r="A93">
        <v>92</v>
      </c>
      <c r="B93" s="2">
        <v>45363</v>
      </c>
      <c r="C93" t="s">
        <v>15</v>
      </c>
      <c r="D93" s="1">
        <v>0.71180555555555558</v>
      </c>
      <c r="E93" t="s">
        <v>26</v>
      </c>
      <c r="F93" t="s">
        <v>23</v>
      </c>
      <c r="G93" t="s">
        <v>18</v>
      </c>
      <c r="H93">
        <v>1.29619</v>
      </c>
      <c r="I93">
        <v>1.29823</v>
      </c>
      <c r="J93">
        <v>1.29531</v>
      </c>
      <c r="K93">
        <v>2</v>
      </c>
      <c r="L93">
        <v>2.3199999999999998</v>
      </c>
      <c r="M93">
        <v>-1</v>
      </c>
      <c r="N93" t="s">
        <v>22</v>
      </c>
      <c r="O93" t="s">
        <v>20</v>
      </c>
      <c r="P93">
        <f>SUM($M$2:M93)</f>
        <v>53.179999999999993</v>
      </c>
      <c r="Q93">
        <f t="shared" si="4"/>
        <v>56.179999999999993</v>
      </c>
      <c r="R93">
        <f t="shared" si="5"/>
        <v>-3</v>
      </c>
      <c r="S93" t="str">
        <f>TEXT(TradingData[[#This Row],[Cleaned_Date]], "dddd")</f>
        <v>Tuesday</v>
      </c>
      <c r="T93" t="str">
        <f>TEXT(TradingData[[#This Row],[Cleaned_Date]], "mmm")</f>
        <v>Mar</v>
      </c>
    </row>
    <row r="94" spans="1:20" x14ac:dyDescent="0.25">
      <c r="A94">
        <v>93</v>
      </c>
      <c r="B94" s="2">
        <v>45741</v>
      </c>
      <c r="C94" t="s">
        <v>15</v>
      </c>
      <c r="D94" s="1">
        <v>8.6805555555555552E-2</v>
      </c>
      <c r="E94" t="s">
        <v>26</v>
      </c>
      <c r="F94" t="s">
        <v>23</v>
      </c>
      <c r="G94" t="s">
        <v>18</v>
      </c>
      <c r="H94">
        <v>1.29186</v>
      </c>
      <c r="I94">
        <v>1.29295</v>
      </c>
      <c r="J94">
        <v>1.29111</v>
      </c>
      <c r="K94">
        <v>2</v>
      </c>
      <c r="L94">
        <v>1.45</v>
      </c>
      <c r="M94">
        <v>-1</v>
      </c>
      <c r="N94" t="s">
        <v>22</v>
      </c>
      <c r="O94" t="s">
        <v>20</v>
      </c>
      <c r="P94">
        <f>SUM($M$2:M94)</f>
        <v>52.179999999999993</v>
      </c>
      <c r="Q94">
        <f t="shared" si="4"/>
        <v>56.179999999999993</v>
      </c>
      <c r="R94">
        <f t="shared" si="5"/>
        <v>-4</v>
      </c>
      <c r="S94" t="str">
        <f>TEXT(TradingData[[#This Row],[Cleaned_Date]], "dddd")</f>
        <v>Tuesday</v>
      </c>
      <c r="T94" t="str">
        <f>TEXT(TradingData[[#This Row],[Cleaned_Date]], "mmm")</f>
        <v>Mar</v>
      </c>
    </row>
    <row r="95" spans="1:20" x14ac:dyDescent="0.25">
      <c r="A95">
        <v>94</v>
      </c>
      <c r="B95" s="2">
        <v>45741</v>
      </c>
      <c r="C95" t="s">
        <v>15</v>
      </c>
      <c r="D95" s="1">
        <v>0.3298611111111111</v>
      </c>
      <c r="E95" t="s">
        <v>16</v>
      </c>
      <c r="F95" t="s">
        <v>17</v>
      </c>
      <c r="G95" t="s">
        <v>24</v>
      </c>
      <c r="H95">
        <v>1.2942400000000001</v>
      </c>
      <c r="I95">
        <v>1.2895099999999999</v>
      </c>
      <c r="J95">
        <v>1.29575</v>
      </c>
      <c r="K95">
        <v>2</v>
      </c>
      <c r="L95">
        <v>3.13</v>
      </c>
      <c r="M95">
        <v>-1</v>
      </c>
      <c r="N95" t="s">
        <v>22</v>
      </c>
      <c r="O95" t="s">
        <v>20</v>
      </c>
      <c r="P95">
        <f>SUM($M$2:M95)</f>
        <v>51.179999999999993</v>
      </c>
      <c r="Q95">
        <f t="shared" si="4"/>
        <v>56.179999999999993</v>
      </c>
      <c r="R95">
        <f t="shared" si="5"/>
        <v>-5</v>
      </c>
      <c r="S95" t="str">
        <f>TEXT(TradingData[[#This Row],[Cleaned_Date]], "dddd")</f>
        <v>Tuesday</v>
      </c>
      <c r="T95" t="str">
        <f>TEXT(TradingData[[#This Row],[Cleaned_Date]], "mmm")</f>
        <v>Mar</v>
      </c>
    </row>
    <row r="96" spans="1:20" x14ac:dyDescent="0.25">
      <c r="A96">
        <v>95</v>
      </c>
      <c r="B96" s="2">
        <v>45741</v>
      </c>
      <c r="C96" t="s">
        <v>15</v>
      </c>
      <c r="D96" s="1">
        <v>0.89583333333333337</v>
      </c>
      <c r="E96" t="s">
        <v>26</v>
      </c>
      <c r="F96" t="s">
        <v>17</v>
      </c>
      <c r="G96" t="s">
        <v>18</v>
      </c>
      <c r="H96">
        <v>1.2938000000000001</v>
      </c>
      <c r="I96">
        <v>1.2966299999999999</v>
      </c>
      <c r="J96">
        <v>1.2926200000000001</v>
      </c>
      <c r="K96">
        <v>2</v>
      </c>
      <c r="L96">
        <v>2.4</v>
      </c>
      <c r="M96">
        <v>-1</v>
      </c>
      <c r="N96" t="s">
        <v>22</v>
      </c>
      <c r="O96" t="s">
        <v>20</v>
      </c>
      <c r="P96">
        <f>SUM($M$2:M96)</f>
        <v>50.179999999999993</v>
      </c>
      <c r="Q96">
        <f t="shared" si="4"/>
        <v>56.179999999999993</v>
      </c>
      <c r="R96">
        <f t="shared" si="5"/>
        <v>-6</v>
      </c>
      <c r="S96" t="str">
        <f>TEXT(TradingData[[#This Row],[Cleaned_Date]], "dddd")</f>
        <v>Tuesday</v>
      </c>
      <c r="T96" t="str">
        <f>TEXT(TradingData[[#This Row],[Cleaned_Date]], "mmm")</f>
        <v>Mar</v>
      </c>
    </row>
    <row r="97" spans="1:20" x14ac:dyDescent="0.25">
      <c r="A97">
        <v>96</v>
      </c>
      <c r="B97" s="2">
        <v>45743</v>
      </c>
      <c r="C97" t="s">
        <v>15</v>
      </c>
      <c r="D97" s="1">
        <v>0.1388888888888889</v>
      </c>
      <c r="E97" t="s">
        <v>16</v>
      </c>
      <c r="F97" t="s">
        <v>23</v>
      </c>
      <c r="G97" t="s">
        <v>28</v>
      </c>
      <c r="H97">
        <v>1.2908299999999999</v>
      </c>
      <c r="I97">
        <v>1.2865599999999999</v>
      </c>
      <c r="J97">
        <v>1.2928999999999999</v>
      </c>
      <c r="K97">
        <v>2</v>
      </c>
      <c r="L97">
        <v>2.06</v>
      </c>
      <c r="M97">
        <v>-1</v>
      </c>
      <c r="N97" t="s">
        <v>22</v>
      </c>
      <c r="O97" t="s">
        <v>25</v>
      </c>
      <c r="P97">
        <f>SUM($M$2:M97)</f>
        <v>49.179999999999993</v>
      </c>
      <c r="Q97">
        <f t="shared" si="4"/>
        <v>56.179999999999993</v>
      </c>
      <c r="R97">
        <f t="shared" si="5"/>
        <v>-7</v>
      </c>
      <c r="S97" t="str">
        <f>TEXT(TradingData[[#This Row],[Cleaned_Date]], "dddd")</f>
        <v>Thursday</v>
      </c>
      <c r="T97" t="str">
        <f>TEXT(TradingData[[#This Row],[Cleaned_Date]], "mmm")</f>
        <v>Mar</v>
      </c>
    </row>
    <row r="98" spans="1:20" x14ac:dyDescent="0.25">
      <c r="A98">
        <v>97</v>
      </c>
      <c r="B98" s="2">
        <v>45743</v>
      </c>
      <c r="C98" t="s">
        <v>15</v>
      </c>
      <c r="D98" s="1">
        <v>0.41319444444444442</v>
      </c>
      <c r="E98" t="s">
        <v>16</v>
      </c>
      <c r="F98" t="s">
        <v>17</v>
      </c>
      <c r="G98" t="s">
        <v>28</v>
      </c>
      <c r="H98">
        <v>1.2927500000000001</v>
      </c>
      <c r="I98">
        <v>1.2865599999999999</v>
      </c>
      <c r="J98">
        <v>1.29684</v>
      </c>
      <c r="K98">
        <v>2</v>
      </c>
      <c r="L98">
        <v>1.51</v>
      </c>
      <c r="M98">
        <v>-1</v>
      </c>
      <c r="N98" t="s">
        <v>22</v>
      </c>
      <c r="O98" t="s">
        <v>20</v>
      </c>
      <c r="P98">
        <f>SUM($M$2:M98)</f>
        <v>48.179999999999993</v>
      </c>
      <c r="Q98">
        <f t="shared" ref="Q98:Q129" si="6">MAX(Q97,P98)</f>
        <v>56.179999999999993</v>
      </c>
      <c r="R98">
        <f t="shared" ref="R98:R129" si="7">P98-Q98</f>
        <v>-8</v>
      </c>
      <c r="S98" t="str">
        <f>TEXT(TradingData[[#This Row],[Cleaned_Date]], "dddd")</f>
        <v>Thursday</v>
      </c>
      <c r="T98" t="str">
        <f>TEXT(TradingData[[#This Row],[Cleaned_Date]], "mmm")</f>
        <v>Mar</v>
      </c>
    </row>
    <row r="99" spans="1:20" x14ac:dyDescent="0.25">
      <c r="A99">
        <v>98</v>
      </c>
      <c r="B99" s="2">
        <v>45747</v>
      </c>
      <c r="C99" t="s">
        <v>15</v>
      </c>
      <c r="D99" s="1">
        <v>0.53125</v>
      </c>
      <c r="E99" t="s">
        <v>26</v>
      </c>
      <c r="F99" t="s">
        <v>17</v>
      </c>
      <c r="G99" t="s">
        <v>24</v>
      </c>
      <c r="H99">
        <v>1.29118</v>
      </c>
      <c r="I99">
        <v>1.2991600000000001</v>
      </c>
      <c r="J99">
        <v>1.28857</v>
      </c>
      <c r="K99">
        <v>2</v>
      </c>
      <c r="L99">
        <v>3.06</v>
      </c>
      <c r="M99">
        <v>-1</v>
      </c>
      <c r="N99" t="s">
        <v>22</v>
      </c>
      <c r="O99" t="s">
        <v>20</v>
      </c>
      <c r="P99">
        <f>SUM($M$2:M99)</f>
        <v>47.179999999999993</v>
      </c>
      <c r="Q99">
        <f t="shared" si="6"/>
        <v>56.179999999999993</v>
      </c>
      <c r="R99">
        <f t="shared" si="7"/>
        <v>-9</v>
      </c>
      <c r="S99" t="str">
        <f>TEXT(TradingData[[#This Row],[Cleaned_Date]], "dddd")</f>
        <v>Monday</v>
      </c>
      <c r="T99" t="str">
        <f>TEXT(TradingData[[#This Row],[Cleaned_Date]], "mmm")</f>
        <v>Mar</v>
      </c>
    </row>
    <row r="100" spans="1:20" x14ac:dyDescent="0.25">
      <c r="A100">
        <v>99</v>
      </c>
      <c r="B100" s="2">
        <v>45748</v>
      </c>
      <c r="C100" t="s">
        <v>15</v>
      </c>
      <c r="D100" s="1">
        <v>0.59375</v>
      </c>
      <c r="E100" t="s">
        <v>16</v>
      </c>
      <c r="F100" t="s">
        <v>23</v>
      </c>
      <c r="G100" t="s">
        <v>24</v>
      </c>
      <c r="H100">
        <v>1.29165</v>
      </c>
      <c r="I100">
        <v>1.2878799999999999</v>
      </c>
      <c r="J100">
        <v>1.29325</v>
      </c>
      <c r="K100">
        <v>2</v>
      </c>
      <c r="L100">
        <v>2.36</v>
      </c>
      <c r="M100">
        <v>-1</v>
      </c>
      <c r="N100" t="s">
        <v>22</v>
      </c>
      <c r="O100" t="s">
        <v>20</v>
      </c>
      <c r="P100">
        <f>SUM($M$2:M100)</f>
        <v>46.179999999999993</v>
      </c>
      <c r="Q100">
        <f t="shared" si="6"/>
        <v>56.179999999999993</v>
      </c>
      <c r="R100">
        <f t="shared" si="7"/>
        <v>-10</v>
      </c>
      <c r="S100" t="str">
        <f>TEXT(TradingData[[#This Row],[Cleaned_Date]], "dddd")</f>
        <v>Tuesday</v>
      </c>
      <c r="T100" t="str">
        <f>TEXT(TradingData[[#This Row],[Cleaned_Date]], "mmm")</f>
        <v>Apr</v>
      </c>
    </row>
    <row r="101" spans="1:20" x14ac:dyDescent="0.25">
      <c r="A101">
        <v>100</v>
      </c>
      <c r="B101" s="2">
        <v>45749</v>
      </c>
      <c r="C101" t="s">
        <v>15</v>
      </c>
      <c r="D101" s="1">
        <v>0.43055555555555558</v>
      </c>
      <c r="E101" t="s">
        <v>16</v>
      </c>
      <c r="F101" t="s">
        <v>17</v>
      </c>
      <c r="G101" t="s">
        <v>24</v>
      </c>
      <c r="H101">
        <v>1.29362</v>
      </c>
      <c r="I101">
        <v>1.2880499999999999</v>
      </c>
      <c r="J101">
        <v>1.29495</v>
      </c>
      <c r="K101">
        <v>2</v>
      </c>
      <c r="L101">
        <v>4.1900000000000004</v>
      </c>
      <c r="M101">
        <v>-1</v>
      </c>
      <c r="N101" t="s">
        <v>22</v>
      </c>
      <c r="O101" t="s">
        <v>20</v>
      </c>
      <c r="P101">
        <f>SUM($M$2:M101)</f>
        <v>45.179999999999993</v>
      </c>
      <c r="Q101">
        <f t="shared" si="6"/>
        <v>56.179999999999993</v>
      </c>
      <c r="R101">
        <f t="shared" si="7"/>
        <v>-11</v>
      </c>
      <c r="S101" t="str">
        <f>TEXT(TradingData[[#This Row],[Cleaned_Date]], "dddd")</f>
        <v>Wednesday</v>
      </c>
      <c r="T101" t="str">
        <f>TEXT(TradingData[[#This Row],[Cleaned_Date]], "mmm")</f>
        <v>Apr</v>
      </c>
    </row>
    <row r="102" spans="1:20" x14ac:dyDescent="0.25">
      <c r="A102">
        <v>101</v>
      </c>
      <c r="B102" s="2">
        <v>45750</v>
      </c>
      <c r="C102" t="s">
        <v>15</v>
      </c>
      <c r="D102" s="1">
        <v>0.75347222222222221</v>
      </c>
      <c r="E102" t="s">
        <v>26</v>
      </c>
      <c r="F102" t="s">
        <v>23</v>
      </c>
      <c r="G102" t="s">
        <v>28</v>
      </c>
      <c r="H102">
        <v>1.3100499999999999</v>
      </c>
      <c r="I102">
        <v>1.3207</v>
      </c>
      <c r="J102">
        <v>1.3079400000000001</v>
      </c>
      <c r="K102">
        <v>2</v>
      </c>
      <c r="L102">
        <v>5.05</v>
      </c>
      <c r="M102">
        <v>-1</v>
      </c>
      <c r="N102" t="s">
        <v>22</v>
      </c>
      <c r="O102" t="s">
        <v>20</v>
      </c>
      <c r="P102">
        <f>SUM($M$2:M102)</f>
        <v>44.179999999999993</v>
      </c>
      <c r="Q102">
        <f t="shared" si="6"/>
        <v>56.179999999999993</v>
      </c>
      <c r="R102">
        <f t="shared" si="7"/>
        <v>-12</v>
      </c>
      <c r="S102" t="str">
        <f>TEXT(TradingData[[#This Row],[Cleaned_Date]], "dddd")</f>
        <v>Thursday</v>
      </c>
      <c r="T102" t="str">
        <f>TEXT(TradingData[[#This Row],[Cleaned_Date]], "mmm")</f>
        <v>Apr</v>
      </c>
    </row>
    <row r="103" spans="1:20" x14ac:dyDescent="0.25">
      <c r="A103">
        <v>102</v>
      </c>
      <c r="B103" s="2">
        <v>45751</v>
      </c>
      <c r="C103" t="s">
        <v>15</v>
      </c>
      <c r="D103" s="1">
        <v>0.36458333333333331</v>
      </c>
      <c r="E103" t="s">
        <v>16</v>
      </c>
      <c r="F103" t="s">
        <v>23</v>
      </c>
      <c r="G103" t="s">
        <v>27</v>
      </c>
      <c r="H103">
        <v>1.30098</v>
      </c>
      <c r="I103">
        <v>1.2961400000000001</v>
      </c>
      <c r="J103">
        <v>1.3048900000000001</v>
      </c>
      <c r="K103">
        <v>2</v>
      </c>
      <c r="L103">
        <v>1.24</v>
      </c>
      <c r="M103">
        <v>1.24</v>
      </c>
      <c r="N103" t="s">
        <v>19</v>
      </c>
      <c r="O103" t="s">
        <v>25</v>
      </c>
      <c r="P103">
        <f>SUM($M$2:M103)</f>
        <v>45.419999999999995</v>
      </c>
      <c r="Q103">
        <f t="shared" si="6"/>
        <v>56.179999999999993</v>
      </c>
      <c r="R103">
        <f t="shared" si="7"/>
        <v>-10.759999999999998</v>
      </c>
      <c r="S103" t="str">
        <f>TEXT(TradingData[[#This Row],[Cleaned_Date]], "dddd")</f>
        <v>Friday</v>
      </c>
      <c r="T103" t="str">
        <f>TEXT(TradingData[[#This Row],[Cleaned_Date]], "mmm")</f>
        <v>Apr</v>
      </c>
    </row>
    <row r="104" spans="1:20" x14ac:dyDescent="0.25">
      <c r="A104">
        <v>103</v>
      </c>
      <c r="B104" s="2">
        <v>45755</v>
      </c>
      <c r="C104" t="s">
        <v>15</v>
      </c>
      <c r="D104" s="1">
        <v>0.94444444444444442</v>
      </c>
      <c r="E104" t="s">
        <v>16</v>
      </c>
      <c r="F104" t="s">
        <v>23</v>
      </c>
      <c r="G104" t="s">
        <v>28</v>
      </c>
      <c r="H104">
        <v>1.28182</v>
      </c>
      <c r="I104">
        <v>1.2707599999999999</v>
      </c>
      <c r="J104">
        <v>1.2845299999999999</v>
      </c>
      <c r="K104">
        <v>2</v>
      </c>
      <c r="L104">
        <v>4.08</v>
      </c>
      <c r="M104">
        <v>-1</v>
      </c>
      <c r="N104" t="s">
        <v>22</v>
      </c>
      <c r="O104" t="s">
        <v>20</v>
      </c>
      <c r="P104">
        <f>SUM($M$2:M104)</f>
        <v>44.419999999999995</v>
      </c>
      <c r="Q104">
        <f t="shared" si="6"/>
        <v>56.179999999999993</v>
      </c>
      <c r="R104">
        <f t="shared" si="7"/>
        <v>-11.759999999999998</v>
      </c>
      <c r="S104" t="str">
        <f>TEXT(TradingData[[#This Row],[Cleaned_Date]], "dddd")</f>
        <v>Tuesday</v>
      </c>
      <c r="T104" t="str">
        <f>TEXT(TradingData[[#This Row],[Cleaned_Date]], "mmm")</f>
        <v>Apr</v>
      </c>
    </row>
    <row r="105" spans="1:20" x14ac:dyDescent="0.25">
      <c r="A105">
        <v>104</v>
      </c>
      <c r="B105" s="2">
        <v>45757</v>
      </c>
      <c r="C105" t="s">
        <v>15</v>
      </c>
      <c r="D105" s="1">
        <v>0.52430555555555558</v>
      </c>
      <c r="E105" t="s">
        <v>26</v>
      </c>
      <c r="F105" t="s">
        <v>23</v>
      </c>
      <c r="G105" t="s">
        <v>24</v>
      </c>
      <c r="H105">
        <v>1.2941800000000001</v>
      </c>
      <c r="I105">
        <v>1.2978400000000001</v>
      </c>
      <c r="J105">
        <v>1.2924800000000001</v>
      </c>
      <c r="K105">
        <v>2</v>
      </c>
      <c r="L105">
        <v>2.15</v>
      </c>
      <c r="M105">
        <v>2.15</v>
      </c>
      <c r="N105" t="s">
        <v>19</v>
      </c>
      <c r="O105" t="s">
        <v>20</v>
      </c>
      <c r="P105">
        <f>SUM($M$2:M105)</f>
        <v>46.569999999999993</v>
      </c>
      <c r="Q105">
        <f t="shared" si="6"/>
        <v>56.179999999999993</v>
      </c>
      <c r="R105">
        <f t="shared" si="7"/>
        <v>-9.61</v>
      </c>
      <c r="S105" t="str">
        <f>TEXT(TradingData[[#This Row],[Cleaned_Date]], "dddd")</f>
        <v>Thursday</v>
      </c>
      <c r="T105" t="str">
        <f>TEXT(TradingData[[#This Row],[Cleaned_Date]], "mmm")</f>
        <v>Apr</v>
      </c>
    </row>
    <row r="106" spans="1:20" x14ac:dyDescent="0.25">
      <c r="A106">
        <v>105</v>
      </c>
      <c r="B106" s="2">
        <v>45758</v>
      </c>
      <c r="C106" t="s">
        <v>15</v>
      </c>
      <c r="D106" s="1">
        <v>0.11805555555555555</v>
      </c>
      <c r="E106" t="s">
        <v>26</v>
      </c>
      <c r="F106" t="s">
        <v>23</v>
      </c>
      <c r="G106" t="s">
        <v>24</v>
      </c>
      <c r="H106">
        <v>1.30087</v>
      </c>
      <c r="I106">
        <v>1.3046800000000001</v>
      </c>
      <c r="J106">
        <v>1.2984199999999999</v>
      </c>
      <c r="K106">
        <v>2</v>
      </c>
      <c r="L106">
        <v>1.56</v>
      </c>
      <c r="M106">
        <v>1.56</v>
      </c>
      <c r="N106" t="s">
        <v>19</v>
      </c>
      <c r="O106" t="s">
        <v>25</v>
      </c>
      <c r="P106">
        <f>SUM($M$2:M106)</f>
        <v>48.129999999999995</v>
      </c>
      <c r="Q106">
        <f t="shared" si="6"/>
        <v>56.179999999999993</v>
      </c>
      <c r="R106">
        <f t="shared" si="7"/>
        <v>-8.0499999999999972</v>
      </c>
      <c r="S106" t="str">
        <f>TEXT(TradingData[[#This Row],[Cleaned_Date]], "dddd")</f>
        <v>Friday</v>
      </c>
      <c r="T106" t="str">
        <f>TEXT(TradingData[[#This Row],[Cleaned_Date]], "mmm")</f>
        <v>Apr</v>
      </c>
    </row>
    <row r="107" spans="1:20" x14ac:dyDescent="0.25">
      <c r="A107">
        <v>106</v>
      </c>
      <c r="B107" s="2">
        <v>45758</v>
      </c>
      <c r="C107" t="s">
        <v>15</v>
      </c>
      <c r="D107" s="1">
        <v>0.53125</v>
      </c>
      <c r="E107" t="s">
        <v>26</v>
      </c>
      <c r="F107" t="s">
        <v>17</v>
      </c>
      <c r="G107" t="s">
        <v>27</v>
      </c>
      <c r="H107">
        <v>1.30541</v>
      </c>
      <c r="I107">
        <v>1.31443</v>
      </c>
      <c r="J107">
        <v>1.30294</v>
      </c>
      <c r="K107">
        <v>2</v>
      </c>
      <c r="L107">
        <v>3.65</v>
      </c>
      <c r="M107">
        <v>0.6</v>
      </c>
      <c r="N107" t="s">
        <v>30</v>
      </c>
      <c r="O107" t="s">
        <v>20</v>
      </c>
      <c r="P107">
        <f>SUM($M$2:M107)</f>
        <v>48.73</v>
      </c>
      <c r="Q107">
        <f t="shared" si="6"/>
        <v>56.179999999999993</v>
      </c>
      <c r="R107">
        <f t="shared" si="7"/>
        <v>-7.4499999999999957</v>
      </c>
      <c r="S107" t="str">
        <f>TEXT(TradingData[[#This Row],[Cleaned_Date]], "dddd")</f>
        <v>Friday</v>
      </c>
      <c r="T107" t="str">
        <f>TEXT(TradingData[[#This Row],[Cleaned_Date]], "mmm")</f>
        <v>Apr</v>
      </c>
    </row>
    <row r="108" spans="1:20" x14ac:dyDescent="0.25">
      <c r="A108">
        <v>107</v>
      </c>
      <c r="B108" s="2">
        <v>45768</v>
      </c>
      <c r="C108" t="s">
        <v>15</v>
      </c>
      <c r="D108" s="1">
        <v>0.57638888888888884</v>
      </c>
      <c r="E108" t="s">
        <v>26</v>
      </c>
      <c r="F108" t="s">
        <v>23</v>
      </c>
      <c r="G108" t="s">
        <v>24</v>
      </c>
      <c r="H108">
        <v>1.33728</v>
      </c>
      <c r="I108">
        <v>1.3421700000000001</v>
      </c>
      <c r="J108">
        <v>1.3362499999999999</v>
      </c>
      <c r="K108">
        <v>2</v>
      </c>
      <c r="L108">
        <v>4.75</v>
      </c>
      <c r="M108">
        <v>-1</v>
      </c>
      <c r="N108" t="s">
        <v>22</v>
      </c>
      <c r="O108" t="s">
        <v>20</v>
      </c>
      <c r="P108">
        <f>SUM($M$2:M108)</f>
        <v>47.73</v>
      </c>
      <c r="Q108">
        <f t="shared" si="6"/>
        <v>56.179999999999993</v>
      </c>
      <c r="R108">
        <f t="shared" si="7"/>
        <v>-8.4499999999999957</v>
      </c>
      <c r="S108" t="str">
        <f>TEXT(TradingData[[#This Row],[Cleaned_Date]], "dddd")</f>
        <v>Monday</v>
      </c>
      <c r="T108" t="str">
        <f>TEXT(TradingData[[#This Row],[Cleaned_Date]], "mmm")</f>
        <v>Apr</v>
      </c>
    </row>
    <row r="109" spans="1:20" x14ac:dyDescent="0.25">
      <c r="A109">
        <v>108</v>
      </c>
      <c r="B109" s="2">
        <v>45768</v>
      </c>
      <c r="C109" t="s">
        <v>15</v>
      </c>
      <c r="D109" s="1">
        <v>0.875</v>
      </c>
      <c r="E109" t="s">
        <v>26</v>
      </c>
      <c r="F109" t="s">
        <v>23</v>
      </c>
      <c r="G109" t="s">
        <v>24</v>
      </c>
      <c r="H109">
        <v>1.33761</v>
      </c>
      <c r="I109">
        <v>1.3421700000000001</v>
      </c>
      <c r="J109">
        <v>1.33612</v>
      </c>
      <c r="K109">
        <v>2</v>
      </c>
      <c r="L109">
        <v>3.06</v>
      </c>
      <c r="M109">
        <v>3.06</v>
      </c>
      <c r="N109" t="s">
        <v>19</v>
      </c>
      <c r="O109" t="s">
        <v>20</v>
      </c>
      <c r="P109">
        <f>SUM($M$2:M109)</f>
        <v>50.79</v>
      </c>
      <c r="Q109">
        <f t="shared" si="6"/>
        <v>56.179999999999993</v>
      </c>
      <c r="R109">
        <f t="shared" si="7"/>
        <v>-5.3899999999999935</v>
      </c>
      <c r="S109" t="str">
        <f>TEXT(TradingData[[#This Row],[Cleaned_Date]], "dddd")</f>
        <v>Monday</v>
      </c>
      <c r="T109" t="str">
        <f>TEXT(TradingData[[#This Row],[Cleaned_Date]], "mmm")</f>
        <v>Apr</v>
      </c>
    </row>
    <row r="110" spans="1:20" x14ac:dyDescent="0.25">
      <c r="A110">
        <v>109</v>
      </c>
      <c r="B110" s="2">
        <v>45769</v>
      </c>
      <c r="C110" t="s">
        <v>15</v>
      </c>
      <c r="D110" s="1">
        <v>0.92361111111111116</v>
      </c>
      <c r="E110" t="s">
        <v>16</v>
      </c>
      <c r="F110" t="s">
        <v>23</v>
      </c>
      <c r="G110" t="s">
        <v>24</v>
      </c>
      <c r="H110">
        <v>1.3303</v>
      </c>
      <c r="I110">
        <v>1.3232999999999999</v>
      </c>
      <c r="J110">
        <v>1.33168</v>
      </c>
      <c r="K110">
        <v>2</v>
      </c>
      <c r="L110">
        <v>5.07</v>
      </c>
      <c r="M110">
        <v>-1</v>
      </c>
      <c r="N110" t="s">
        <v>22</v>
      </c>
      <c r="O110" t="s">
        <v>20</v>
      </c>
      <c r="P110">
        <f>SUM($M$2:M110)</f>
        <v>49.79</v>
      </c>
      <c r="Q110">
        <f t="shared" si="6"/>
        <v>56.179999999999993</v>
      </c>
      <c r="R110">
        <f t="shared" si="7"/>
        <v>-6.3899999999999935</v>
      </c>
      <c r="S110" t="str">
        <f>TEXT(TradingData[[#This Row],[Cleaned_Date]], "dddd")</f>
        <v>Tuesday</v>
      </c>
      <c r="T110" t="str">
        <f>TEXT(TradingData[[#This Row],[Cleaned_Date]], "mmm")</f>
        <v>Apr</v>
      </c>
    </row>
    <row r="111" spans="1:20" x14ac:dyDescent="0.25">
      <c r="A111">
        <v>110</v>
      </c>
      <c r="B111" s="2">
        <v>45772</v>
      </c>
      <c r="C111" t="s">
        <v>15</v>
      </c>
      <c r="D111" s="1">
        <v>0.20833333333333334</v>
      </c>
      <c r="E111" t="s">
        <v>26</v>
      </c>
      <c r="F111" t="s">
        <v>23</v>
      </c>
      <c r="G111" t="s">
        <v>18</v>
      </c>
      <c r="H111">
        <v>1.3297399999999999</v>
      </c>
      <c r="I111">
        <v>1.3313600000000001</v>
      </c>
      <c r="J111">
        <v>1.3289299999999999</v>
      </c>
      <c r="K111">
        <v>2</v>
      </c>
      <c r="L111">
        <v>2</v>
      </c>
      <c r="M111">
        <v>-1</v>
      </c>
      <c r="N111" t="s">
        <v>22</v>
      </c>
      <c r="O111" t="s">
        <v>20</v>
      </c>
      <c r="P111">
        <f>SUM($M$2:M111)</f>
        <v>48.79</v>
      </c>
      <c r="Q111">
        <f t="shared" si="6"/>
        <v>56.179999999999993</v>
      </c>
      <c r="R111">
        <f t="shared" si="7"/>
        <v>-7.3899999999999935</v>
      </c>
      <c r="S111" t="str">
        <f>TEXT(TradingData[[#This Row],[Cleaned_Date]], "dddd")</f>
        <v>Friday</v>
      </c>
      <c r="T111" t="str">
        <f>TEXT(TradingData[[#This Row],[Cleaned_Date]], "mmm")</f>
        <v>Apr</v>
      </c>
    </row>
    <row r="112" spans="1:20" x14ac:dyDescent="0.25">
      <c r="A112">
        <v>111</v>
      </c>
      <c r="B112" s="2">
        <v>45777</v>
      </c>
      <c r="C112" t="s">
        <v>15</v>
      </c>
      <c r="D112" s="1">
        <v>8.3333333333333329E-2</v>
      </c>
      <c r="E112" t="s">
        <v>16</v>
      </c>
      <c r="F112" t="s">
        <v>23</v>
      </c>
      <c r="G112" t="s">
        <v>18</v>
      </c>
      <c r="H112">
        <v>1.33927</v>
      </c>
      <c r="I112">
        <v>1.3381799999999999</v>
      </c>
      <c r="J112">
        <v>1.34009</v>
      </c>
      <c r="K112">
        <v>2</v>
      </c>
      <c r="L112">
        <v>1.33</v>
      </c>
      <c r="M112">
        <v>1.33</v>
      </c>
      <c r="N112" t="s">
        <v>19</v>
      </c>
      <c r="O112" t="s">
        <v>20</v>
      </c>
      <c r="P112">
        <f>SUM($M$2:M112)</f>
        <v>50.12</v>
      </c>
      <c r="Q112">
        <f t="shared" si="6"/>
        <v>56.179999999999993</v>
      </c>
      <c r="R112">
        <f t="shared" si="7"/>
        <v>-6.0599999999999952</v>
      </c>
      <c r="S112" t="str">
        <f>TEXT(TradingData[[#This Row],[Cleaned_Date]], "dddd")</f>
        <v>Wednesday</v>
      </c>
      <c r="T112" t="str">
        <f>TEXT(TradingData[[#This Row],[Cleaned_Date]], "mmm")</f>
        <v>Apr</v>
      </c>
    </row>
    <row r="113" spans="1:20" x14ac:dyDescent="0.25">
      <c r="A113">
        <v>112</v>
      </c>
      <c r="B113" s="2">
        <v>45782</v>
      </c>
      <c r="C113" t="s">
        <v>15</v>
      </c>
      <c r="D113" s="1">
        <v>0.10416666666666667</v>
      </c>
      <c r="E113" t="s">
        <v>16</v>
      </c>
      <c r="F113" t="s">
        <v>23</v>
      </c>
      <c r="G113" t="s">
        <v>27</v>
      </c>
      <c r="H113">
        <v>1.32864</v>
      </c>
      <c r="I113">
        <v>1.32575</v>
      </c>
      <c r="J113">
        <v>1.3306500000000001</v>
      </c>
      <c r="K113">
        <v>2</v>
      </c>
      <c r="L113">
        <v>1.44</v>
      </c>
      <c r="M113">
        <v>-1</v>
      </c>
      <c r="N113" t="s">
        <v>22</v>
      </c>
      <c r="O113" t="s">
        <v>20</v>
      </c>
      <c r="P113">
        <f>SUM($M$2:M113)</f>
        <v>49.12</v>
      </c>
      <c r="Q113">
        <f t="shared" si="6"/>
        <v>56.179999999999993</v>
      </c>
      <c r="R113">
        <f t="shared" si="7"/>
        <v>-7.0599999999999952</v>
      </c>
      <c r="S113" t="str">
        <f>TEXT(TradingData[[#This Row],[Cleaned_Date]], "dddd")</f>
        <v>Monday</v>
      </c>
      <c r="T113" t="str">
        <f>TEXT(TradingData[[#This Row],[Cleaned_Date]], "mmm")</f>
        <v>May</v>
      </c>
    </row>
    <row r="114" spans="1:20" x14ac:dyDescent="0.25">
      <c r="A114">
        <v>113</v>
      </c>
      <c r="B114" s="2">
        <v>45782</v>
      </c>
      <c r="C114" t="s">
        <v>15</v>
      </c>
      <c r="D114" s="1">
        <v>0.62847222222222221</v>
      </c>
      <c r="E114" t="s">
        <v>26</v>
      </c>
      <c r="F114" t="s">
        <v>23</v>
      </c>
      <c r="G114" t="s">
        <v>24</v>
      </c>
      <c r="H114">
        <v>1.32962</v>
      </c>
      <c r="I114">
        <v>1.3335900000000001</v>
      </c>
      <c r="J114">
        <v>1.32694</v>
      </c>
      <c r="K114">
        <v>2</v>
      </c>
      <c r="L114">
        <v>1.48</v>
      </c>
      <c r="M114">
        <v>-1</v>
      </c>
      <c r="N114" t="s">
        <v>22</v>
      </c>
      <c r="O114" t="s">
        <v>20</v>
      </c>
      <c r="P114">
        <f>SUM($M$2:M114)</f>
        <v>48.12</v>
      </c>
      <c r="Q114">
        <f t="shared" si="6"/>
        <v>56.179999999999993</v>
      </c>
      <c r="R114">
        <f t="shared" si="7"/>
        <v>-8.0599999999999952</v>
      </c>
      <c r="S114" t="str">
        <f>TEXT(TradingData[[#This Row],[Cleaned_Date]], "dddd")</f>
        <v>Monday</v>
      </c>
      <c r="T114" t="str">
        <f>TEXT(TradingData[[#This Row],[Cleaned_Date]], "mmm")</f>
        <v>May</v>
      </c>
    </row>
    <row r="115" spans="1:20" x14ac:dyDescent="0.25">
      <c r="A115">
        <v>114</v>
      </c>
      <c r="B115" s="2">
        <v>45783</v>
      </c>
      <c r="C115" t="s">
        <v>15</v>
      </c>
      <c r="D115" s="1">
        <v>6.5972222222222224E-2</v>
      </c>
      <c r="E115" t="s">
        <v>16</v>
      </c>
      <c r="F115" t="s">
        <v>17</v>
      </c>
      <c r="G115" t="s">
        <v>21</v>
      </c>
      <c r="H115">
        <v>1.3292200000000001</v>
      </c>
      <c r="I115">
        <v>1.32595</v>
      </c>
      <c r="J115">
        <v>1.33053</v>
      </c>
      <c r="K115">
        <v>2</v>
      </c>
      <c r="L115">
        <v>2.5</v>
      </c>
      <c r="M115">
        <v>-1</v>
      </c>
      <c r="N115" t="s">
        <v>22</v>
      </c>
      <c r="O115" t="s">
        <v>20</v>
      </c>
      <c r="P115">
        <f>SUM($M$2:M115)</f>
        <v>47.12</v>
      </c>
      <c r="Q115">
        <f t="shared" si="6"/>
        <v>56.179999999999993</v>
      </c>
      <c r="R115">
        <f t="shared" si="7"/>
        <v>-9.0599999999999952</v>
      </c>
      <c r="S115" t="str">
        <f>TEXT(TradingData[[#This Row],[Cleaned_Date]], "dddd")</f>
        <v>Tuesday</v>
      </c>
      <c r="T115" t="str">
        <f>TEXT(TradingData[[#This Row],[Cleaned_Date]], "mmm")</f>
        <v>May</v>
      </c>
    </row>
    <row r="116" spans="1:20" x14ac:dyDescent="0.25">
      <c r="A116">
        <v>115</v>
      </c>
      <c r="B116" s="2">
        <v>45784</v>
      </c>
      <c r="C116" t="s">
        <v>15</v>
      </c>
      <c r="D116" s="1">
        <v>0.15625</v>
      </c>
      <c r="E116" t="s">
        <v>16</v>
      </c>
      <c r="F116" t="s">
        <v>23</v>
      </c>
      <c r="G116" t="s">
        <v>18</v>
      </c>
      <c r="H116">
        <v>1.33517</v>
      </c>
      <c r="I116">
        <v>1.33327</v>
      </c>
      <c r="J116">
        <v>1.3367</v>
      </c>
      <c r="K116">
        <v>2</v>
      </c>
      <c r="L116">
        <v>1.24</v>
      </c>
      <c r="M116">
        <v>1.24</v>
      </c>
      <c r="N116" t="s">
        <v>19</v>
      </c>
      <c r="O116" t="s">
        <v>20</v>
      </c>
      <c r="P116">
        <f>SUM($M$2:M116)</f>
        <v>48.36</v>
      </c>
      <c r="Q116">
        <f t="shared" si="6"/>
        <v>56.179999999999993</v>
      </c>
      <c r="R116">
        <f t="shared" si="7"/>
        <v>-7.8199999999999932</v>
      </c>
      <c r="S116" t="str">
        <f>TEXT(TradingData[[#This Row],[Cleaned_Date]], "dddd")</f>
        <v>Wednesday</v>
      </c>
      <c r="T116" t="str">
        <f>TEXT(TradingData[[#This Row],[Cleaned_Date]], "mmm")</f>
        <v>May</v>
      </c>
    </row>
    <row r="117" spans="1:20" x14ac:dyDescent="0.25">
      <c r="A117">
        <v>116</v>
      </c>
      <c r="B117" s="2">
        <v>45785</v>
      </c>
      <c r="C117" t="s">
        <v>15</v>
      </c>
      <c r="D117" s="1">
        <v>2.0833333333333332E-2</v>
      </c>
      <c r="E117" t="s">
        <v>16</v>
      </c>
      <c r="F117" t="s">
        <v>23</v>
      </c>
      <c r="G117" t="s">
        <v>24</v>
      </c>
      <c r="H117">
        <v>1.3340399999999999</v>
      </c>
      <c r="I117">
        <v>1.3279399999999999</v>
      </c>
      <c r="J117">
        <v>1.3355999999999999</v>
      </c>
      <c r="K117">
        <v>2</v>
      </c>
      <c r="L117">
        <v>3.91</v>
      </c>
      <c r="M117">
        <v>3.91</v>
      </c>
      <c r="N117" t="s">
        <v>19</v>
      </c>
      <c r="O117" t="s">
        <v>20</v>
      </c>
      <c r="P117">
        <f>SUM($M$2:M117)</f>
        <v>52.269999999999996</v>
      </c>
      <c r="Q117">
        <f t="shared" si="6"/>
        <v>56.179999999999993</v>
      </c>
      <c r="R117">
        <f t="shared" si="7"/>
        <v>-3.9099999999999966</v>
      </c>
      <c r="S117" t="str">
        <f>TEXT(TradingData[[#This Row],[Cleaned_Date]], "dddd")</f>
        <v>Thursday</v>
      </c>
      <c r="T117" t="str">
        <f>TEXT(TradingData[[#This Row],[Cleaned_Date]], "mmm")</f>
        <v>May</v>
      </c>
    </row>
    <row r="118" spans="1:20" x14ac:dyDescent="0.25">
      <c r="A118">
        <v>117</v>
      </c>
      <c r="B118" s="2">
        <v>45789</v>
      </c>
      <c r="C118" t="s">
        <v>15</v>
      </c>
      <c r="D118" s="1">
        <v>0.46180555555555558</v>
      </c>
      <c r="E118" t="s">
        <v>16</v>
      </c>
      <c r="F118" t="s">
        <v>23</v>
      </c>
      <c r="G118" t="s">
        <v>21</v>
      </c>
      <c r="H118">
        <v>1.31945</v>
      </c>
      <c r="I118">
        <v>1.3139400000000001</v>
      </c>
      <c r="J118">
        <v>1.3214900000000001</v>
      </c>
      <c r="K118">
        <v>2</v>
      </c>
      <c r="L118">
        <v>2.7</v>
      </c>
      <c r="M118">
        <v>-1</v>
      </c>
      <c r="N118" t="s">
        <v>22</v>
      </c>
      <c r="O118" t="s">
        <v>20</v>
      </c>
      <c r="P118">
        <f>SUM($M$2:M118)</f>
        <v>51.269999999999996</v>
      </c>
      <c r="Q118">
        <f t="shared" si="6"/>
        <v>56.179999999999993</v>
      </c>
      <c r="R118">
        <f t="shared" si="7"/>
        <v>-4.9099999999999966</v>
      </c>
      <c r="S118" t="str">
        <f>TEXT(TradingData[[#This Row],[Cleaned_Date]], "dddd")</f>
        <v>Monday</v>
      </c>
      <c r="T118" t="str">
        <f>TEXT(TradingData[[#This Row],[Cleaned_Date]], "mmm")</f>
        <v>May</v>
      </c>
    </row>
    <row r="119" spans="1:20" x14ac:dyDescent="0.25">
      <c r="A119">
        <v>118</v>
      </c>
      <c r="B119" s="2">
        <v>45790</v>
      </c>
      <c r="C119" t="s">
        <v>15</v>
      </c>
      <c r="D119" s="1">
        <v>0.25347222222222221</v>
      </c>
      <c r="E119" t="s">
        <v>16</v>
      </c>
      <c r="F119" t="s">
        <v>23</v>
      </c>
      <c r="G119" t="s">
        <v>21</v>
      </c>
      <c r="H119">
        <v>1.32067</v>
      </c>
      <c r="I119">
        <v>1.3139400000000001</v>
      </c>
      <c r="J119">
        <v>1.32199</v>
      </c>
      <c r="K119">
        <v>2</v>
      </c>
      <c r="L119">
        <v>5.0999999999999996</v>
      </c>
      <c r="M119">
        <v>-1</v>
      </c>
      <c r="N119" t="s">
        <v>22</v>
      </c>
      <c r="O119" t="s">
        <v>25</v>
      </c>
      <c r="P119">
        <f>SUM($M$2:M119)</f>
        <v>50.269999999999996</v>
      </c>
      <c r="Q119">
        <f t="shared" si="6"/>
        <v>56.179999999999993</v>
      </c>
      <c r="R119">
        <f t="shared" si="7"/>
        <v>-5.9099999999999966</v>
      </c>
      <c r="S119" t="str">
        <f>TEXT(TradingData[[#This Row],[Cleaned_Date]], "dddd")</f>
        <v>Tuesday</v>
      </c>
      <c r="T119" t="str">
        <f>TEXT(TradingData[[#This Row],[Cleaned_Date]], "mmm")</f>
        <v>May</v>
      </c>
    </row>
    <row r="120" spans="1:20" x14ac:dyDescent="0.25">
      <c r="A120">
        <v>119</v>
      </c>
      <c r="B120" s="2">
        <v>45791</v>
      </c>
      <c r="C120" t="s">
        <v>15</v>
      </c>
      <c r="D120" s="1">
        <v>0.73611111111111116</v>
      </c>
      <c r="E120" t="s">
        <v>26</v>
      </c>
      <c r="F120" t="s">
        <v>23</v>
      </c>
      <c r="G120" t="s">
        <v>24</v>
      </c>
      <c r="H120">
        <v>1.32585</v>
      </c>
      <c r="I120">
        <v>1.3359799999999999</v>
      </c>
      <c r="J120">
        <v>1.3248500000000001</v>
      </c>
      <c r="K120">
        <v>2</v>
      </c>
      <c r="L120">
        <v>10.130000000000001</v>
      </c>
      <c r="M120">
        <v>2.2599999999999998</v>
      </c>
      <c r="N120" t="s">
        <v>30</v>
      </c>
      <c r="O120" t="s">
        <v>20</v>
      </c>
      <c r="P120">
        <f>SUM($M$2:M120)</f>
        <v>52.529999999999994</v>
      </c>
      <c r="Q120">
        <f t="shared" si="6"/>
        <v>56.179999999999993</v>
      </c>
      <c r="R120">
        <f t="shared" si="7"/>
        <v>-3.6499999999999986</v>
      </c>
      <c r="S120" t="str">
        <f>TEXT(TradingData[[#This Row],[Cleaned_Date]], "dddd")</f>
        <v>Wednesday</v>
      </c>
      <c r="T120" t="str">
        <f>TEXT(TradingData[[#This Row],[Cleaned_Date]], "mmm")</f>
        <v>May</v>
      </c>
    </row>
    <row r="121" spans="1:20" x14ac:dyDescent="0.25">
      <c r="A121">
        <v>120</v>
      </c>
      <c r="B121" s="2">
        <v>45798</v>
      </c>
      <c r="C121" t="s">
        <v>15</v>
      </c>
      <c r="D121" s="1">
        <v>0.2361111111111111</v>
      </c>
      <c r="E121" t="s">
        <v>26</v>
      </c>
      <c r="F121" t="s">
        <v>23</v>
      </c>
      <c r="G121" t="s">
        <v>28</v>
      </c>
      <c r="H121">
        <v>1.3407500000000001</v>
      </c>
      <c r="I121">
        <v>1.3468500000000001</v>
      </c>
      <c r="J121">
        <v>1.3388</v>
      </c>
      <c r="K121">
        <v>2</v>
      </c>
      <c r="L121">
        <v>3.13</v>
      </c>
      <c r="M121">
        <v>3.13</v>
      </c>
      <c r="N121" t="s">
        <v>19</v>
      </c>
      <c r="O121" t="s">
        <v>20</v>
      </c>
      <c r="P121">
        <f>SUM($M$2:M121)</f>
        <v>55.66</v>
      </c>
      <c r="Q121">
        <f t="shared" si="6"/>
        <v>56.179999999999993</v>
      </c>
      <c r="R121">
        <f t="shared" si="7"/>
        <v>-0.51999999999999602</v>
      </c>
      <c r="S121" t="str">
        <f>TEXT(TradingData[[#This Row],[Cleaned_Date]], "dddd")</f>
        <v>Wednesday</v>
      </c>
      <c r="T121" t="str">
        <f>TEXT(TradingData[[#This Row],[Cleaned_Date]], "mmm")</f>
        <v>May</v>
      </c>
    </row>
    <row r="122" spans="1:20" x14ac:dyDescent="0.25">
      <c r="A122">
        <v>121</v>
      </c>
      <c r="B122" s="2">
        <v>45810</v>
      </c>
      <c r="C122" t="s">
        <v>15</v>
      </c>
      <c r="D122" s="1">
        <v>4.8611111111111112E-3</v>
      </c>
      <c r="E122" t="s">
        <v>26</v>
      </c>
      <c r="F122" t="s">
        <v>23</v>
      </c>
      <c r="G122" t="s">
        <v>27</v>
      </c>
      <c r="H122">
        <v>1.3483000000000001</v>
      </c>
      <c r="I122">
        <v>1.3505499999999999</v>
      </c>
      <c r="J122">
        <v>1.3473299999999999</v>
      </c>
      <c r="K122">
        <v>2</v>
      </c>
      <c r="L122">
        <v>2.3199999999999998</v>
      </c>
      <c r="M122">
        <v>2.3199999999999998</v>
      </c>
      <c r="N122" t="s">
        <v>19</v>
      </c>
      <c r="O122" t="s">
        <v>20</v>
      </c>
      <c r="P122">
        <f>SUM($M$2:M122)</f>
        <v>57.98</v>
      </c>
      <c r="Q122">
        <f t="shared" si="6"/>
        <v>57.98</v>
      </c>
      <c r="R122">
        <f t="shared" si="7"/>
        <v>0</v>
      </c>
      <c r="S122" t="str">
        <f>TEXT(TradingData[[#This Row],[Cleaned_Date]], "dddd")</f>
        <v>Monday</v>
      </c>
      <c r="T122" t="str">
        <f>TEXT(TradingData[[#This Row],[Cleaned_Date]], "mmm")</f>
        <v>Jun</v>
      </c>
    </row>
    <row r="123" spans="1:20" x14ac:dyDescent="0.25">
      <c r="A123">
        <v>122</v>
      </c>
      <c r="B123" s="2">
        <v>45811</v>
      </c>
      <c r="C123" t="s">
        <v>15</v>
      </c>
      <c r="D123" s="1">
        <v>0.92708333333333337</v>
      </c>
      <c r="E123" t="s">
        <v>16</v>
      </c>
      <c r="F123" t="s">
        <v>23</v>
      </c>
      <c r="G123" t="s">
        <v>24</v>
      </c>
      <c r="H123">
        <v>1.3533299999999999</v>
      </c>
      <c r="I123">
        <v>1.3502000000000001</v>
      </c>
      <c r="J123">
        <v>1.3544499999999999</v>
      </c>
      <c r="K123">
        <v>2</v>
      </c>
      <c r="L123">
        <v>3.7</v>
      </c>
      <c r="M123">
        <v>-1</v>
      </c>
      <c r="N123" t="s">
        <v>22</v>
      </c>
      <c r="O123" t="s">
        <v>20</v>
      </c>
      <c r="P123">
        <f>SUM($M$2:M123)</f>
        <v>56.98</v>
      </c>
      <c r="Q123">
        <f t="shared" si="6"/>
        <v>57.98</v>
      </c>
      <c r="R123">
        <f t="shared" si="7"/>
        <v>-1</v>
      </c>
      <c r="S123" t="str">
        <f>TEXT(TradingData[[#This Row],[Cleaned_Date]], "dddd")</f>
        <v>Tuesday</v>
      </c>
      <c r="T123" t="str">
        <f>TEXT(TradingData[[#This Row],[Cleaned_Date]], "mmm")</f>
        <v>Jun</v>
      </c>
    </row>
    <row r="124" spans="1:20" x14ac:dyDescent="0.25">
      <c r="A124">
        <v>123</v>
      </c>
      <c r="B124" s="2">
        <v>45812</v>
      </c>
      <c r="C124" t="s">
        <v>15</v>
      </c>
      <c r="D124" s="1">
        <v>0.69791666666666663</v>
      </c>
      <c r="E124" t="s">
        <v>26</v>
      </c>
      <c r="F124" t="s">
        <v>23</v>
      </c>
      <c r="G124" t="s">
        <v>27</v>
      </c>
      <c r="H124">
        <v>1.35545</v>
      </c>
      <c r="I124">
        <v>1.3580000000000001</v>
      </c>
      <c r="J124">
        <v>1.3545199999999999</v>
      </c>
      <c r="K124">
        <v>2</v>
      </c>
      <c r="L124">
        <v>2.74</v>
      </c>
      <c r="M124">
        <v>-1</v>
      </c>
      <c r="N124" t="s">
        <v>22</v>
      </c>
      <c r="O124" t="s">
        <v>20</v>
      </c>
      <c r="P124">
        <f>SUM($M$2:M124)</f>
        <v>55.98</v>
      </c>
      <c r="Q124">
        <f t="shared" si="6"/>
        <v>57.98</v>
      </c>
      <c r="R124">
        <f t="shared" si="7"/>
        <v>-2</v>
      </c>
      <c r="S124" t="str">
        <f>TEXT(TradingData[[#This Row],[Cleaned_Date]], "dddd")</f>
        <v>Wednesday</v>
      </c>
      <c r="T124" t="str">
        <f>TEXT(TradingData[[#This Row],[Cleaned_Date]], "mmm")</f>
        <v>Jun</v>
      </c>
    </row>
    <row r="125" spans="1:20" x14ac:dyDescent="0.25">
      <c r="A125">
        <v>124</v>
      </c>
      <c r="B125" s="2">
        <v>45814</v>
      </c>
      <c r="C125" t="s">
        <v>15</v>
      </c>
      <c r="D125" s="1">
        <v>0.34375</v>
      </c>
      <c r="E125" t="s">
        <v>16</v>
      </c>
      <c r="F125" t="s">
        <v>23</v>
      </c>
      <c r="G125" t="s">
        <v>27</v>
      </c>
      <c r="H125">
        <v>1.3545100000000001</v>
      </c>
      <c r="I125">
        <v>1.3529800000000001</v>
      </c>
      <c r="J125">
        <v>1.3554900000000001</v>
      </c>
      <c r="K125">
        <v>2</v>
      </c>
      <c r="L125">
        <v>1.56</v>
      </c>
      <c r="M125">
        <v>-1</v>
      </c>
      <c r="N125" t="s">
        <v>22</v>
      </c>
      <c r="O125" t="s">
        <v>25</v>
      </c>
      <c r="P125">
        <f>SUM($M$2:M125)</f>
        <v>54.98</v>
      </c>
      <c r="Q125">
        <f t="shared" si="6"/>
        <v>57.98</v>
      </c>
      <c r="R125">
        <f t="shared" si="7"/>
        <v>-3</v>
      </c>
      <c r="S125" t="str">
        <f>TEXT(TradingData[[#This Row],[Cleaned_Date]], "dddd")</f>
        <v>Friday</v>
      </c>
      <c r="T125" t="str">
        <f>TEXT(TradingData[[#This Row],[Cleaned_Date]], "mmm")</f>
        <v>Jun</v>
      </c>
    </row>
    <row r="126" spans="1:20" x14ac:dyDescent="0.25">
      <c r="A126">
        <v>125</v>
      </c>
      <c r="B126" s="2">
        <v>45839</v>
      </c>
      <c r="C126" t="s">
        <v>15</v>
      </c>
      <c r="D126" s="1">
        <v>0.91319444444444442</v>
      </c>
      <c r="E126" t="s">
        <v>16</v>
      </c>
      <c r="F126" t="s">
        <v>17</v>
      </c>
      <c r="G126" t="s">
        <v>31</v>
      </c>
      <c r="H126">
        <v>1.37381</v>
      </c>
      <c r="I126">
        <v>1.37032</v>
      </c>
      <c r="J126">
        <v>1.37523</v>
      </c>
      <c r="K126">
        <v>2</v>
      </c>
      <c r="L126">
        <v>2.46</v>
      </c>
      <c r="M126">
        <v>2.46</v>
      </c>
      <c r="N126" t="s">
        <v>19</v>
      </c>
      <c r="O126" t="s">
        <v>20</v>
      </c>
      <c r="P126">
        <f>SUM($M$2:M126)</f>
        <v>57.44</v>
      </c>
      <c r="Q126">
        <f t="shared" si="6"/>
        <v>57.98</v>
      </c>
      <c r="R126">
        <f t="shared" si="7"/>
        <v>-0.53999999999999915</v>
      </c>
      <c r="S126" t="str">
        <f>TEXT(TradingData[[#This Row],[Cleaned_Date]], "dddd")</f>
        <v>Tuesday</v>
      </c>
      <c r="T126" t="str">
        <f>TEXT(TradingData[[#This Row],[Cleaned_Date]], "mmm")</f>
        <v>Jul</v>
      </c>
    </row>
    <row r="127" spans="1:20" x14ac:dyDescent="0.25">
      <c r="A127">
        <v>126</v>
      </c>
      <c r="B127" s="2">
        <v>45873</v>
      </c>
      <c r="C127" t="s">
        <v>15</v>
      </c>
      <c r="D127" s="1">
        <v>0.84375</v>
      </c>
      <c r="E127" t="s">
        <v>16</v>
      </c>
      <c r="F127" t="s">
        <v>23</v>
      </c>
      <c r="G127" t="s">
        <v>18</v>
      </c>
      <c r="H127">
        <v>1.3294999999999999</v>
      </c>
      <c r="I127">
        <v>1.3272299999999999</v>
      </c>
      <c r="J127">
        <v>1.3303</v>
      </c>
      <c r="K127">
        <v>2</v>
      </c>
      <c r="L127">
        <v>2.84</v>
      </c>
      <c r="M127">
        <v>2.84</v>
      </c>
      <c r="N127" t="s">
        <v>19</v>
      </c>
      <c r="O127" t="s">
        <v>20</v>
      </c>
      <c r="P127">
        <f>SUM($M$2:M127)</f>
        <v>60.28</v>
      </c>
      <c r="Q127">
        <f t="shared" si="6"/>
        <v>60.28</v>
      </c>
      <c r="R127">
        <f t="shared" si="7"/>
        <v>0</v>
      </c>
      <c r="S127" t="str">
        <f>TEXT(TradingData[[#This Row],[Cleaned_Date]], "dddd")</f>
        <v>Monday</v>
      </c>
      <c r="T127" t="str">
        <f>TEXT(TradingData[[#This Row],[Cleaned_Date]], "mmm")</f>
        <v>Aug</v>
      </c>
    </row>
    <row r="128" spans="1:20" x14ac:dyDescent="0.25">
      <c r="A128">
        <v>127</v>
      </c>
      <c r="B128" s="2">
        <v>45876</v>
      </c>
      <c r="C128" t="s">
        <v>15</v>
      </c>
      <c r="D128" s="1">
        <v>0.46527777777777779</v>
      </c>
      <c r="E128" t="s">
        <v>26</v>
      </c>
      <c r="F128" t="s">
        <v>23</v>
      </c>
      <c r="G128" t="s">
        <v>18</v>
      </c>
      <c r="H128">
        <v>1.3406199999999999</v>
      </c>
      <c r="I128">
        <v>1.34365</v>
      </c>
      <c r="J128">
        <v>1.33908</v>
      </c>
      <c r="K128">
        <v>2</v>
      </c>
      <c r="L128">
        <v>1.97</v>
      </c>
      <c r="M128">
        <v>1.97</v>
      </c>
      <c r="N128" t="s">
        <v>19</v>
      </c>
      <c r="O128" t="s">
        <v>20</v>
      </c>
      <c r="P128">
        <f>SUM($M$2:M128)</f>
        <v>62.25</v>
      </c>
      <c r="Q128">
        <f t="shared" si="6"/>
        <v>62.25</v>
      </c>
      <c r="R128">
        <f t="shared" si="7"/>
        <v>0</v>
      </c>
      <c r="S128" t="str">
        <f>TEXT(TradingData[[#This Row],[Cleaned_Date]], "dddd")</f>
        <v>Thursday</v>
      </c>
      <c r="T128" t="str">
        <f>TEXT(TradingData[[#This Row],[Cleaned_Date]], "mmm")</f>
        <v>Aug</v>
      </c>
    </row>
    <row r="129" spans="1:20" x14ac:dyDescent="0.25">
      <c r="A129">
        <v>128</v>
      </c>
      <c r="B129" s="2">
        <v>45877</v>
      </c>
      <c r="C129" t="s">
        <v>15</v>
      </c>
      <c r="D129" s="1">
        <v>0.39930555555555558</v>
      </c>
      <c r="E129" t="s">
        <v>26</v>
      </c>
      <c r="F129" t="s">
        <v>23</v>
      </c>
      <c r="G129" t="s">
        <v>18</v>
      </c>
      <c r="H129">
        <v>1.34331</v>
      </c>
      <c r="I129">
        <v>1.34534</v>
      </c>
      <c r="J129">
        <v>1.34182</v>
      </c>
      <c r="K129">
        <v>2</v>
      </c>
      <c r="L129">
        <v>1.36</v>
      </c>
      <c r="M129">
        <v>1.36</v>
      </c>
      <c r="N129" t="s">
        <v>19</v>
      </c>
      <c r="O129" t="s">
        <v>20</v>
      </c>
      <c r="P129">
        <f>SUM($M$2:M129)</f>
        <v>63.61</v>
      </c>
      <c r="Q129">
        <f t="shared" si="6"/>
        <v>63.61</v>
      </c>
      <c r="R129">
        <f t="shared" si="7"/>
        <v>0</v>
      </c>
      <c r="S129" t="str">
        <f>TEXT(TradingData[[#This Row],[Cleaned_Date]], "dddd")</f>
        <v>Friday</v>
      </c>
      <c r="T129" t="str">
        <f>TEXT(TradingData[[#This Row],[Cleaned_Date]], "mmm")</f>
        <v>Aug</v>
      </c>
    </row>
    <row r="130" spans="1:20" x14ac:dyDescent="0.25">
      <c r="A130">
        <v>129</v>
      </c>
      <c r="B130" s="2">
        <v>45880</v>
      </c>
      <c r="C130" t="s">
        <v>15</v>
      </c>
      <c r="D130" s="1">
        <v>0.64027777777777772</v>
      </c>
      <c r="E130" t="s">
        <v>16</v>
      </c>
      <c r="F130" t="s">
        <v>17</v>
      </c>
      <c r="G130" t="s">
        <v>18</v>
      </c>
      <c r="H130">
        <v>1.34277</v>
      </c>
      <c r="I130">
        <v>1.33992</v>
      </c>
      <c r="J130">
        <v>1.33992</v>
      </c>
      <c r="K130">
        <v>2</v>
      </c>
      <c r="L130">
        <v>3</v>
      </c>
      <c r="M130">
        <v>-1</v>
      </c>
      <c r="N130" t="s">
        <v>22</v>
      </c>
      <c r="O130" t="s">
        <v>20</v>
      </c>
      <c r="P130">
        <f>SUM($M$2:M130)</f>
        <v>62.61</v>
      </c>
      <c r="Q130">
        <f t="shared" ref="Q130:Q161" si="8">MAX(Q129,P130)</f>
        <v>63.61</v>
      </c>
      <c r="R130">
        <f t="shared" ref="R130:R161" si="9">P130-Q130</f>
        <v>-1</v>
      </c>
      <c r="S130" t="str">
        <f>TEXT(TradingData[[#This Row],[Cleaned_Date]], "dddd")</f>
        <v>Monday</v>
      </c>
      <c r="T130" t="str">
        <f>TEXT(TradingData[[#This Row],[Cleaned_Date]], "mmm")</f>
        <v>Aug</v>
      </c>
    </row>
    <row r="131" spans="1:20" x14ac:dyDescent="0.25">
      <c r="A131">
        <v>130</v>
      </c>
      <c r="B131" s="2">
        <v>45881</v>
      </c>
      <c r="C131" t="s">
        <v>15</v>
      </c>
      <c r="D131" s="1">
        <v>1.0416666666666666E-2</v>
      </c>
      <c r="E131" t="s">
        <v>16</v>
      </c>
      <c r="F131" t="s">
        <v>17</v>
      </c>
      <c r="G131" t="s">
        <v>18</v>
      </c>
      <c r="H131">
        <v>1.34291</v>
      </c>
      <c r="I131">
        <v>1.33992</v>
      </c>
      <c r="J131">
        <v>1.34396</v>
      </c>
      <c r="K131">
        <v>2</v>
      </c>
      <c r="L131">
        <v>2.85</v>
      </c>
      <c r="M131">
        <v>-1</v>
      </c>
      <c r="N131" t="s">
        <v>22</v>
      </c>
      <c r="O131" t="s">
        <v>20</v>
      </c>
      <c r="P131">
        <f>SUM($M$2:M131)</f>
        <v>61.61</v>
      </c>
      <c r="Q131">
        <f t="shared" si="8"/>
        <v>63.61</v>
      </c>
      <c r="R131">
        <f t="shared" si="9"/>
        <v>-2</v>
      </c>
      <c r="S131" t="str">
        <f>TEXT(TradingData[[#This Row],[Cleaned_Date]], "dddd")</f>
        <v>Tuesday</v>
      </c>
      <c r="T131" t="str">
        <f>TEXT(TradingData[[#This Row],[Cleaned_Date]], "mmm")</f>
        <v>Aug</v>
      </c>
    </row>
    <row r="132" spans="1:20" x14ac:dyDescent="0.25">
      <c r="A132">
        <v>131</v>
      </c>
      <c r="B132" s="2">
        <v>45881</v>
      </c>
      <c r="C132" t="s">
        <v>15</v>
      </c>
      <c r="D132" s="1">
        <v>6.5972222222222224E-2</v>
      </c>
      <c r="E132" t="s">
        <v>16</v>
      </c>
      <c r="F132" t="s">
        <v>17</v>
      </c>
      <c r="G132" t="s">
        <v>18</v>
      </c>
      <c r="H132">
        <v>1.3427500000000001</v>
      </c>
      <c r="I132">
        <v>1.33992</v>
      </c>
      <c r="J132">
        <v>1.3440300000000001</v>
      </c>
      <c r="K132">
        <v>2</v>
      </c>
      <c r="L132">
        <v>2.21</v>
      </c>
      <c r="M132">
        <v>-1</v>
      </c>
      <c r="N132" t="s">
        <v>22</v>
      </c>
      <c r="O132" t="s">
        <v>20</v>
      </c>
      <c r="P132">
        <f>SUM($M$2:M132)</f>
        <v>60.61</v>
      </c>
      <c r="Q132">
        <f t="shared" si="8"/>
        <v>63.61</v>
      </c>
      <c r="R132">
        <f t="shared" si="9"/>
        <v>-3</v>
      </c>
      <c r="S132" t="str">
        <f>TEXT(TradingData[[#This Row],[Cleaned_Date]], "dddd")</f>
        <v>Tuesday</v>
      </c>
      <c r="T132" t="str">
        <f>TEXT(TradingData[[#This Row],[Cleaned_Date]], "mmm")</f>
        <v>Aug</v>
      </c>
    </row>
    <row r="133" spans="1:20" x14ac:dyDescent="0.25">
      <c r="A133">
        <v>132</v>
      </c>
      <c r="B133" s="2">
        <v>45881</v>
      </c>
      <c r="C133" t="s">
        <v>15</v>
      </c>
      <c r="D133" s="1">
        <v>0.4513888888888889</v>
      </c>
      <c r="E133" t="s">
        <v>26</v>
      </c>
      <c r="F133" t="s">
        <v>23</v>
      </c>
      <c r="G133" t="s">
        <v>27</v>
      </c>
      <c r="H133">
        <v>1.3482099999999999</v>
      </c>
      <c r="I133">
        <v>1.35097</v>
      </c>
      <c r="J133">
        <v>1.3463099999999999</v>
      </c>
      <c r="K133">
        <v>2</v>
      </c>
      <c r="L133">
        <v>1.45</v>
      </c>
      <c r="M133">
        <v>1.45</v>
      </c>
      <c r="N133" t="s">
        <v>19</v>
      </c>
      <c r="O133" t="s">
        <v>20</v>
      </c>
      <c r="P133">
        <f>SUM($M$2:M133)</f>
        <v>62.06</v>
      </c>
      <c r="Q133">
        <f t="shared" si="8"/>
        <v>63.61</v>
      </c>
      <c r="R133">
        <f t="shared" si="9"/>
        <v>-1.5499999999999972</v>
      </c>
      <c r="S133" t="str">
        <f>TEXT(TradingData[[#This Row],[Cleaned_Date]], "dddd")</f>
        <v>Tuesday</v>
      </c>
      <c r="T133" t="str">
        <f>TEXT(TradingData[[#This Row],[Cleaned_Date]], "mmm")</f>
        <v>Aug</v>
      </c>
    </row>
    <row r="134" spans="1:20" x14ac:dyDescent="0.25">
      <c r="A134">
        <v>133</v>
      </c>
      <c r="B134" s="2">
        <v>45883</v>
      </c>
      <c r="C134" t="s">
        <v>15</v>
      </c>
      <c r="D134" s="1">
        <v>0.43402777777777779</v>
      </c>
      <c r="E134" t="s">
        <v>26</v>
      </c>
      <c r="F134" t="s">
        <v>23</v>
      </c>
      <c r="G134" t="s">
        <v>24</v>
      </c>
      <c r="H134">
        <v>1.3550199999999999</v>
      </c>
      <c r="I134">
        <v>1.3594900000000001</v>
      </c>
      <c r="J134">
        <v>1.35338</v>
      </c>
      <c r="K134">
        <v>2</v>
      </c>
      <c r="L134">
        <v>2.73</v>
      </c>
      <c r="M134">
        <v>-1</v>
      </c>
      <c r="N134" t="s">
        <v>22</v>
      </c>
      <c r="O134" t="s">
        <v>20</v>
      </c>
      <c r="P134">
        <f>SUM($M$2:M134)</f>
        <v>61.06</v>
      </c>
      <c r="Q134">
        <f t="shared" si="8"/>
        <v>63.61</v>
      </c>
      <c r="R134">
        <f t="shared" si="9"/>
        <v>-2.5499999999999972</v>
      </c>
      <c r="S134" t="str">
        <f>TEXT(TradingData[[#This Row],[Cleaned_Date]], "dddd")</f>
        <v>Thursday</v>
      </c>
      <c r="T134" t="str">
        <f>TEXT(TradingData[[#This Row],[Cleaned_Date]], "mmm")</f>
        <v>Aug</v>
      </c>
    </row>
    <row r="135" spans="1:20" x14ac:dyDescent="0.25">
      <c r="A135">
        <v>134</v>
      </c>
      <c r="B135" s="2">
        <v>45883</v>
      </c>
      <c r="C135" t="s">
        <v>15</v>
      </c>
      <c r="D135" s="1">
        <v>0.96180555555555558</v>
      </c>
      <c r="E135" t="s">
        <v>26</v>
      </c>
      <c r="F135" t="s">
        <v>23</v>
      </c>
      <c r="G135" t="s">
        <v>24</v>
      </c>
      <c r="H135">
        <v>1.3546100000000001</v>
      </c>
      <c r="I135">
        <v>1.35948</v>
      </c>
      <c r="J135">
        <v>1.3521000000000001</v>
      </c>
      <c r="K135">
        <v>2</v>
      </c>
      <c r="L135">
        <v>1.94</v>
      </c>
      <c r="M135">
        <v>0.31</v>
      </c>
      <c r="N135" t="s">
        <v>30</v>
      </c>
      <c r="O135" t="s">
        <v>20</v>
      </c>
      <c r="P135">
        <f>SUM($M$2:M135)</f>
        <v>61.370000000000005</v>
      </c>
      <c r="Q135">
        <f t="shared" si="8"/>
        <v>63.61</v>
      </c>
      <c r="R135">
        <f t="shared" si="9"/>
        <v>-2.2399999999999949</v>
      </c>
      <c r="S135" t="str">
        <f>TEXT(TradingData[[#This Row],[Cleaned_Date]], "dddd")</f>
        <v>Thursday</v>
      </c>
      <c r="T135" t="str">
        <f>TEXT(TradingData[[#This Row],[Cleaned_Date]], "mmm")</f>
        <v>Aug</v>
      </c>
    </row>
    <row r="136" spans="1:20" x14ac:dyDescent="0.25">
      <c r="A136">
        <v>135</v>
      </c>
      <c r="B136" s="2">
        <v>46139</v>
      </c>
      <c r="C136" t="s">
        <v>15</v>
      </c>
      <c r="D136" s="1">
        <v>0.15347222222222223</v>
      </c>
      <c r="E136" t="s">
        <v>26</v>
      </c>
      <c r="F136" t="s">
        <v>23</v>
      </c>
      <c r="G136" t="s">
        <v>27</v>
      </c>
      <c r="H136">
        <v>1.35361</v>
      </c>
      <c r="I136">
        <v>1.35484</v>
      </c>
      <c r="J136">
        <v>1.3524400000000001</v>
      </c>
      <c r="K136">
        <v>2</v>
      </c>
      <c r="L136">
        <v>1.06</v>
      </c>
      <c r="M136">
        <v>1.06</v>
      </c>
      <c r="N136" t="s">
        <v>19</v>
      </c>
      <c r="O136" t="s">
        <v>20</v>
      </c>
      <c r="P136">
        <f>SUM($M$2:M136)</f>
        <v>62.430000000000007</v>
      </c>
      <c r="Q136">
        <f t="shared" si="8"/>
        <v>63.61</v>
      </c>
      <c r="R136">
        <f t="shared" si="9"/>
        <v>-1.1799999999999926</v>
      </c>
      <c r="S136" t="str">
        <f>TEXT(TradingData[[#This Row],[Cleaned_Date]], "dddd")</f>
        <v>Monday</v>
      </c>
      <c r="T136" t="str">
        <f>TEXT(TradingData[[#This Row],[Cleaned_Date]], "mmm")</f>
        <v>Apr</v>
      </c>
    </row>
    <row r="137" spans="1:20" x14ac:dyDescent="0.25">
      <c r="A137">
        <v>136</v>
      </c>
      <c r="B137" s="2">
        <v>46146</v>
      </c>
      <c r="C137" t="s">
        <v>15</v>
      </c>
      <c r="D137" s="1">
        <v>0.83333333333333337</v>
      </c>
      <c r="E137" t="s">
        <v>16</v>
      </c>
      <c r="F137" t="s">
        <v>23</v>
      </c>
      <c r="G137" t="s">
        <v>27</v>
      </c>
      <c r="H137">
        <v>1.35301</v>
      </c>
      <c r="I137">
        <v>1.3517300000000001</v>
      </c>
      <c r="J137">
        <v>1.35347</v>
      </c>
      <c r="K137">
        <v>2</v>
      </c>
      <c r="L137">
        <v>2.8</v>
      </c>
      <c r="M137">
        <v>2.8</v>
      </c>
      <c r="N137" t="s">
        <v>19</v>
      </c>
      <c r="O137" t="s">
        <v>20</v>
      </c>
      <c r="P137">
        <f>SUM($M$2:M137)</f>
        <v>65.23</v>
      </c>
      <c r="Q137">
        <f t="shared" si="8"/>
        <v>65.23</v>
      </c>
      <c r="R137">
        <f t="shared" si="9"/>
        <v>0</v>
      </c>
      <c r="S137" t="str">
        <f>TEXT(TradingData[[#This Row],[Cleaned_Date]], "dddd")</f>
        <v>Monday</v>
      </c>
      <c r="T137" t="str">
        <f>TEXT(TradingData[[#This Row],[Cleaned_Date]], "mmm")</f>
        <v>May</v>
      </c>
    </row>
    <row r="138" spans="1:20" x14ac:dyDescent="0.25">
      <c r="A138">
        <v>137</v>
      </c>
      <c r="B138" s="2">
        <v>46150</v>
      </c>
      <c r="C138" t="s">
        <v>15</v>
      </c>
      <c r="D138" s="1">
        <v>5.8333333333333334E-2</v>
      </c>
      <c r="E138" t="s">
        <v>26</v>
      </c>
      <c r="F138" t="s">
        <v>23</v>
      </c>
      <c r="G138" t="s">
        <v>24</v>
      </c>
      <c r="H138">
        <v>1.3572900000000001</v>
      </c>
      <c r="I138">
        <v>1.3643099999999999</v>
      </c>
      <c r="J138">
        <v>1.3547</v>
      </c>
      <c r="K138">
        <v>2</v>
      </c>
      <c r="L138">
        <v>2.72</v>
      </c>
      <c r="M138">
        <v>2</v>
      </c>
      <c r="N138" t="s">
        <v>30</v>
      </c>
      <c r="O138" t="s">
        <v>20</v>
      </c>
      <c r="P138">
        <f>SUM($M$2:M138)</f>
        <v>67.23</v>
      </c>
      <c r="Q138">
        <f t="shared" si="8"/>
        <v>67.23</v>
      </c>
      <c r="R138">
        <f t="shared" si="9"/>
        <v>0</v>
      </c>
      <c r="S138" t="str">
        <f>TEXT(TradingData[[#This Row],[Cleaned_Date]], "dddd")</f>
        <v>Friday</v>
      </c>
      <c r="T138" t="str">
        <f>TEXT(TradingData[[#This Row],[Cleaned_Date]], "mmm")</f>
        <v>May</v>
      </c>
    </row>
    <row r="139" spans="1:20" x14ac:dyDescent="0.25">
      <c r="A139">
        <v>138</v>
      </c>
      <c r="B139" s="2">
        <v>46163</v>
      </c>
      <c r="C139" t="s">
        <v>15</v>
      </c>
      <c r="D139" s="1">
        <v>9.0277777777777776E-2</v>
      </c>
      <c r="E139" t="s">
        <v>26</v>
      </c>
      <c r="F139" t="s">
        <v>17</v>
      </c>
      <c r="G139" t="s">
        <v>27</v>
      </c>
      <c r="H139">
        <v>1.3437699999999999</v>
      </c>
      <c r="I139">
        <v>1.3463099999999999</v>
      </c>
      <c r="J139">
        <v>1.34189</v>
      </c>
      <c r="K139">
        <v>2</v>
      </c>
      <c r="L139">
        <v>1.38</v>
      </c>
      <c r="M139">
        <v>-1</v>
      </c>
      <c r="N139" t="s">
        <v>22</v>
      </c>
      <c r="O139" t="s">
        <v>20</v>
      </c>
      <c r="P139">
        <f>SUM($M$2:M139)</f>
        <v>66.23</v>
      </c>
      <c r="Q139">
        <f t="shared" si="8"/>
        <v>67.23</v>
      </c>
      <c r="R139">
        <f t="shared" si="9"/>
        <v>-1</v>
      </c>
      <c r="S139" t="str">
        <f>TEXT(TradingData[[#This Row],[Cleaned_Date]], "dddd")</f>
        <v>Thursday</v>
      </c>
      <c r="T139" t="str">
        <f>TEXT(TradingData[[#This Row],[Cleaned_Date]], "mmm")</f>
        <v>May</v>
      </c>
    </row>
    <row r="140" spans="1:20" x14ac:dyDescent="0.25">
      <c r="A140">
        <v>139</v>
      </c>
      <c r="B140" s="2">
        <v>46163</v>
      </c>
      <c r="C140" t="s">
        <v>15</v>
      </c>
      <c r="D140" s="1">
        <v>0.19097222222222221</v>
      </c>
      <c r="E140" t="s">
        <v>26</v>
      </c>
      <c r="F140" t="s">
        <v>23</v>
      </c>
      <c r="G140" t="s">
        <v>27</v>
      </c>
      <c r="H140">
        <v>1.34331</v>
      </c>
      <c r="I140">
        <v>1.3463099999999999</v>
      </c>
      <c r="J140">
        <v>1.34155</v>
      </c>
      <c r="K140">
        <v>2</v>
      </c>
      <c r="L140">
        <v>1.9</v>
      </c>
      <c r="M140">
        <v>-1</v>
      </c>
      <c r="N140" t="s">
        <v>22</v>
      </c>
      <c r="O140" t="s">
        <v>20</v>
      </c>
      <c r="P140">
        <f>SUM($M$2:M140)</f>
        <v>65.23</v>
      </c>
      <c r="Q140">
        <f t="shared" si="8"/>
        <v>67.23</v>
      </c>
      <c r="R140">
        <f t="shared" si="9"/>
        <v>-2</v>
      </c>
      <c r="S140" t="str">
        <f>TEXT(TradingData[[#This Row],[Cleaned_Date]], "dddd")</f>
        <v>Thursday</v>
      </c>
      <c r="T140" t="str">
        <f>TEXT(TradingData[[#This Row],[Cleaned_Date]], "mmm")</f>
        <v>May</v>
      </c>
    </row>
    <row r="141" spans="1:20" x14ac:dyDescent="0.25">
      <c r="A141">
        <v>140</v>
      </c>
      <c r="B141" s="2">
        <v>46170</v>
      </c>
      <c r="C141" t="s">
        <v>15</v>
      </c>
      <c r="D141" s="1">
        <v>0.30208333333333331</v>
      </c>
      <c r="E141" t="s">
        <v>26</v>
      </c>
      <c r="F141" t="s">
        <v>23</v>
      </c>
      <c r="G141" t="s">
        <v>18</v>
      </c>
      <c r="H141">
        <v>1.3398000000000001</v>
      </c>
      <c r="I141">
        <v>1.3411299999999999</v>
      </c>
      <c r="J141">
        <v>1.3386400000000001</v>
      </c>
      <c r="K141">
        <v>2</v>
      </c>
      <c r="L141">
        <v>1.2</v>
      </c>
      <c r="M141">
        <v>1.2</v>
      </c>
      <c r="N141" t="s">
        <v>19</v>
      </c>
      <c r="O141" t="s">
        <v>25</v>
      </c>
      <c r="P141">
        <f>SUM($M$2:M141)</f>
        <v>66.430000000000007</v>
      </c>
      <c r="Q141">
        <f t="shared" si="8"/>
        <v>67.23</v>
      </c>
      <c r="R141">
        <f t="shared" si="9"/>
        <v>-0.79999999999999716</v>
      </c>
      <c r="S141" t="str">
        <f>TEXT(TradingData[[#This Row],[Cleaned_Date]], "dddd")</f>
        <v>Thursday</v>
      </c>
      <c r="T141" t="str">
        <f>TEXT(TradingData[[#This Row],[Cleaned_Date]], "mmm")</f>
        <v>May</v>
      </c>
    </row>
    <row r="142" spans="1:20" x14ac:dyDescent="0.25">
      <c r="A142">
        <v>141</v>
      </c>
      <c r="B142" s="2">
        <v>46191</v>
      </c>
      <c r="C142" t="s">
        <v>15</v>
      </c>
      <c r="D142" s="1">
        <v>0.8881944444444444</v>
      </c>
      <c r="E142" t="s">
        <v>16</v>
      </c>
      <c r="F142" t="s">
        <v>23</v>
      </c>
      <c r="G142" t="s">
        <v>18</v>
      </c>
      <c r="H142">
        <v>1.32037</v>
      </c>
      <c r="I142">
        <v>1.3192699999999999</v>
      </c>
      <c r="J142">
        <v>1.3210999999999999</v>
      </c>
      <c r="K142">
        <v>2</v>
      </c>
      <c r="L142">
        <v>1.44</v>
      </c>
      <c r="M142">
        <v>1.44</v>
      </c>
      <c r="N142" t="s">
        <v>19</v>
      </c>
      <c r="O142" t="s">
        <v>20</v>
      </c>
      <c r="P142">
        <f>SUM($M$2:M142)</f>
        <v>67.87</v>
      </c>
      <c r="Q142">
        <f t="shared" si="8"/>
        <v>67.87</v>
      </c>
      <c r="R142">
        <f t="shared" si="9"/>
        <v>0</v>
      </c>
      <c r="S142" t="str">
        <f>TEXT(TradingData[[#This Row],[Cleaned_Date]], "dddd")</f>
        <v>Thursday</v>
      </c>
      <c r="T142" t="str">
        <f>TEXT(TradingData[[#This Row],[Cleaned_Date]], "mmm")</f>
        <v>Jun</v>
      </c>
    </row>
    <row r="143" spans="1:20" x14ac:dyDescent="0.25">
      <c r="A143">
        <v>142</v>
      </c>
      <c r="B143" s="2">
        <v>46192</v>
      </c>
      <c r="C143" t="s">
        <v>15</v>
      </c>
      <c r="D143" s="1">
        <v>0.44097222222222221</v>
      </c>
      <c r="E143" t="s">
        <v>26</v>
      </c>
      <c r="F143" t="s">
        <v>23</v>
      </c>
      <c r="G143" t="s">
        <v>18</v>
      </c>
      <c r="H143">
        <v>1.3224800000000001</v>
      </c>
      <c r="I143">
        <v>1.32403</v>
      </c>
      <c r="J143">
        <v>1.3213600000000001</v>
      </c>
      <c r="K143">
        <v>2</v>
      </c>
      <c r="L143">
        <v>1.38</v>
      </c>
      <c r="M143">
        <v>0.72</v>
      </c>
      <c r="N143" t="s">
        <v>30</v>
      </c>
      <c r="O143" t="s">
        <v>20</v>
      </c>
      <c r="P143">
        <f>SUM($M$2:M143)</f>
        <v>68.59</v>
      </c>
      <c r="Q143">
        <f t="shared" si="8"/>
        <v>68.59</v>
      </c>
      <c r="R143">
        <f t="shared" si="9"/>
        <v>0</v>
      </c>
      <c r="S143" t="str">
        <f>TEXT(TradingData[[#This Row],[Cleaned_Date]], "dddd")</f>
        <v>Friday</v>
      </c>
      <c r="T143" t="str">
        <f>TEXT(TradingData[[#This Row],[Cleaned_Date]], "mmm")</f>
        <v>Jun</v>
      </c>
    </row>
    <row r="144" spans="1:20" x14ac:dyDescent="0.25">
      <c r="A144">
        <v>143</v>
      </c>
      <c r="B144" s="2">
        <v>46198</v>
      </c>
      <c r="C144" t="s">
        <v>15</v>
      </c>
      <c r="D144" s="1">
        <v>0.13194444444444445</v>
      </c>
      <c r="E144" t="s">
        <v>26</v>
      </c>
      <c r="F144" t="s">
        <v>23</v>
      </c>
      <c r="G144" t="s">
        <v>18</v>
      </c>
      <c r="H144">
        <v>1.3174999999999999</v>
      </c>
      <c r="I144">
        <v>1.31853</v>
      </c>
      <c r="J144">
        <v>1.31673</v>
      </c>
      <c r="K144">
        <v>2</v>
      </c>
      <c r="L144">
        <v>1.32</v>
      </c>
      <c r="M144">
        <v>1.32</v>
      </c>
      <c r="N144" t="s">
        <v>19</v>
      </c>
      <c r="O144" t="s">
        <v>20</v>
      </c>
      <c r="P144">
        <f>SUM($M$2:M144)</f>
        <v>69.91</v>
      </c>
      <c r="Q144">
        <f t="shared" si="8"/>
        <v>69.91</v>
      </c>
      <c r="R144">
        <f t="shared" si="9"/>
        <v>0</v>
      </c>
      <c r="S144" t="str">
        <f>TEXT(TradingData[[#This Row],[Cleaned_Date]], "dddd")</f>
        <v>Thursday</v>
      </c>
      <c r="T144" t="str">
        <f>TEXT(TradingData[[#This Row],[Cleaned_Date]], "mmm")</f>
        <v>Jun</v>
      </c>
    </row>
    <row r="145" spans="1:20" x14ac:dyDescent="0.25">
      <c r="A145">
        <v>144</v>
      </c>
      <c r="B145" s="2">
        <v>46211</v>
      </c>
      <c r="C145" t="s">
        <v>15</v>
      </c>
      <c r="D145" s="1">
        <v>0.82291666666666663</v>
      </c>
      <c r="E145" t="s">
        <v>26</v>
      </c>
      <c r="F145" t="s">
        <v>23</v>
      </c>
      <c r="G145" t="s">
        <v>27</v>
      </c>
      <c r="H145">
        <v>1.3393299999999999</v>
      </c>
      <c r="I145">
        <v>1.341</v>
      </c>
      <c r="J145">
        <v>1.3380300000000001</v>
      </c>
      <c r="K145">
        <v>2</v>
      </c>
      <c r="L145">
        <v>1.29</v>
      </c>
      <c r="M145">
        <v>1.29</v>
      </c>
      <c r="N145" t="s">
        <v>19</v>
      </c>
      <c r="O145" t="s">
        <v>20</v>
      </c>
      <c r="P145">
        <f>SUM($M$2:M145)</f>
        <v>71.2</v>
      </c>
      <c r="Q145">
        <f t="shared" si="8"/>
        <v>71.2</v>
      </c>
      <c r="R145">
        <f t="shared" si="9"/>
        <v>0</v>
      </c>
      <c r="S145" t="str">
        <f>TEXT(TradingData[[#This Row],[Cleaned_Date]], "dddd")</f>
        <v>Wednesday</v>
      </c>
      <c r="T145" t="str">
        <f>TEXT(TradingData[[#This Row],[Cleaned_Date]], "mmm")</f>
        <v>Jul</v>
      </c>
    </row>
    <row r="146" spans="1:20" x14ac:dyDescent="0.25">
      <c r="A146">
        <v>145</v>
      </c>
      <c r="B146" s="2">
        <v>46141</v>
      </c>
      <c r="C146" t="s">
        <v>15</v>
      </c>
      <c r="D146" s="1">
        <v>0.97291666666666665</v>
      </c>
      <c r="E146" t="s">
        <v>16</v>
      </c>
      <c r="F146" t="s">
        <v>23</v>
      </c>
      <c r="G146" t="s">
        <v>24</v>
      </c>
      <c r="H146">
        <v>1.3514600000000001</v>
      </c>
      <c r="I146">
        <v>1.34629</v>
      </c>
      <c r="J146">
        <v>1.3528100000000001</v>
      </c>
      <c r="K146">
        <v>1.7078</v>
      </c>
      <c r="L146">
        <v>3.84</v>
      </c>
      <c r="M146">
        <v>-1</v>
      </c>
      <c r="N146" t="s">
        <v>22</v>
      </c>
      <c r="O146" t="s">
        <v>25</v>
      </c>
      <c r="P146">
        <f>SUM($M$2:M146)</f>
        <v>70.2</v>
      </c>
      <c r="Q146">
        <f t="shared" si="8"/>
        <v>71.2</v>
      </c>
      <c r="R146">
        <f t="shared" si="9"/>
        <v>-1</v>
      </c>
      <c r="S146" t="str">
        <f>TEXT(TradingData[[#This Row],[Cleaned_Date]], "dddd")</f>
        <v>Wednesday</v>
      </c>
      <c r="T146" t="str">
        <f>TEXT(TradingData[[#This Row],[Cleaned_Date]], "mmm")</f>
        <v>Apr</v>
      </c>
    </row>
    <row r="147" spans="1:20" x14ac:dyDescent="0.25">
      <c r="A147">
        <v>146</v>
      </c>
      <c r="B147" s="2">
        <v>46147</v>
      </c>
      <c r="C147" t="s">
        <v>15</v>
      </c>
      <c r="D147" s="1">
        <v>0.2951388888888889</v>
      </c>
      <c r="E147" t="s">
        <v>16</v>
      </c>
      <c r="F147" t="s">
        <v>23</v>
      </c>
      <c r="G147" t="s">
        <v>27</v>
      </c>
      <c r="H147">
        <v>1.3537600000000001</v>
      </c>
      <c r="I147">
        <v>1.3512200000000001</v>
      </c>
      <c r="J147">
        <v>1.35511</v>
      </c>
      <c r="K147">
        <v>1.3422000000000001</v>
      </c>
      <c r="L147">
        <v>1.86</v>
      </c>
      <c r="M147">
        <v>-1</v>
      </c>
      <c r="N147" t="s">
        <v>22</v>
      </c>
      <c r="O147" t="s">
        <v>25</v>
      </c>
      <c r="P147">
        <f>SUM($M$2:M147)</f>
        <v>69.2</v>
      </c>
      <c r="Q147">
        <f t="shared" si="8"/>
        <v>71.2</v>
      </c>
      <c r="R147">
        <f t="shared" si="9"/>
        <v>-2</v>
      </c>
      <c r="S147" t="str">
        <f>TEXT(TradingData[[#This Row],[Cleaned_Date]], "dddd")</f>
        <v>Tuesday</v>
      </c>
      <c r="T147" t="str">
        <f>TEXT(TradingData[[#This Row],[Cleaned_Date]], "mmm")</f>
        <v>May</v>
      </c>
    </row>
    <row r="148" spans="1:20" x14ac:dyDescent="0.25">
      <c r="A148">
        <v>147</v>
      </c>
      <c r="B148" s="2">
        <v>46148</v>
      </c>
      <c r="C148" t="s">
        <v>15</v>
      </c>
      <c r="D148" s="1">
        <v>0.40833333333333333</v>
      </c>
      <c r="E148" t="s">
        <v>26</v>
      </c>
      <c r="F148" t="s">
        <v>23</v>
      </c>
      <c r="G148" t="s">
        <v>24</v>
      </c>
      <c r="H148">
        <v>1.3609599999999999</v>
      </c>
      <c r="I148">
        <v>1.3642799999999999</v>
      </c>
      <c r="J148">
        <v>1.3600099999999999</v>
      </c>
      <c r="K148">
        <v>0.89</v>
      </c>
      <c r="L148">
        <v>3.67</v>
      </c>
      <c r="M148">
        <v>-1</v>
      </c>
      <c r="N148" t="s">
        <v>22</v>
      </c>
      <c r="O148" t="s">
        <v>25</v>
      </c>
      <c r="P148">
        <f>SUM($M$2:M148)</f>
        <v>68.2</v>
      </c>
      <c r="Q148">
        <f t="shared" si="8"/>
        <v>71.2</v>
      </c>
      <c r="R148">
        <f t="shared" si="9"/>
        <v>-3</v>
      </c>
      <c r="S148" t="str">
        <f>TEXT(TradingData[[#This Row],[Cleaned_Date]], "dddd")</f>
        <v>Wednesday</v>
      </c>
      <c r="T148" t="str">
        <f>TEXT(TradingData[[#This Row],[Cleaned_Date]], "mmm")</f>
        <v>May</v>
      </c>
    </row>
    <row r="149" spans="1:20" x14ac:dyDescent="0.25">
      <c r="A149">
        <v>148</v>
      </c>
      <c r="B149" s="2">
        <v>46148</v>
      </c>
      <c r="C149" t="s">
        <v>15</v>
      </c>
      <c r="D149" s="1">
        <v>0.54583333333333328</v>
      </c>
      <c r="E149" t="s">
        <v>26</v>
      </c>
      <c r="F149" t="s">
        <v>23</v>
      </c>
      <c r="G149" t="s">
        <v>24</v>
      </c>
      <c r="H149">
        <v>1.35934</v>
      </c>
      <c r="I149">
        <v>1.3643099999999999</v>
      </c>
      <c r="J149">
        <v>1.3578300000000001</v>
      </c>
      <c r="K149">
        <v>1</v>
      </c>
      <c r="L149">
        <v>3.29</v>
      </c>
      <c r="M149">
        <v>-1</v>
      </c>
      <c r="N149" t="s">
        <v>22</v>
      </c>
      <c r="O149" t="s">
        <v>20</v>
      </c>
      <c r="P149">
        <f>SUM($M$2:M149)</f>
        <v>67.2</v>
      </c>
      <c r="Q149">
        <f t="shared" si="8"/>
        <v>71.2</v>
      </c>
      <c r="R149">
        <f t="shared" si="9"/>
        <v>-4</v>
      </c>
      <c r="S149" t="str">
        <f>TEXT(TradingData[[#This Row],[Cleaned_Date]], "dddd")</f>
        <v>Wednesday</v>
      </c>
      <c r="T149" t="str">
        <f>TEXT(TradingData[[#This Row],[Cleaned_Date]], "mmm")</f>
        <v>May</v>
      </c>
    </row>
    <row r="150" spans="1:20" x14ac:dyDescent="0.25">
      <c r="A150">
        <v>149</v>
      </c>
      <c r="B150" s="2">
        <v>45789</v>
      </c>
      <c r="C150" t="s">
        <v>15</v>
      </c>
      <c r="D150" s="1">
        <v>0.29097222222222224</v>
      </c>
      <c r="E150" t="s">
        <v>16</v>
      </c>
      <c r="F150" t="s">
        <v>17</v>
      </c>
      <c r="G150" t="s">
        <v>27</v>
      </c>
      <c r="H150">
        <v>1.35328</v>
      </c>
      <c r="I150">
        <v>1.35019</v>
      </c>
      <c r="J150">
        <v>1.35528</v>
      </c>
      <c r="K150">
        <v>0.63</v>
      </c>
      <c r="L150">
        <v>3</v>
      </c>
      <c r="M150">
        <v>1.59</v>
      </c>
      <c r="N150" t="s">
        <v>19</v>
      </c>
      <c r="O150" t="s">
        <v>25</v>
      </c>
      <c r="P150">
        <f>SUM($M$2:M150)</f>
        <v>68.790000000000006</v>
      </c>
      <c r="Q150">
        <f t="shared" si="8"/>
        <v>71.2</v>
      </c>
      <c r="R150">
        <f t="shared" si="9"/>
        <v>-2.4099999999999966</v>
      </c>
      <c r="S150" t="str">
        <f>TEXT(TradingData[[#This Row],[Cleaned_Date]], "dddd")</f>
        <v>Monday</v>
      </c>
      <c r="T150" t="str">
        <f>TEXT(TradingData[[#This Row],[Cleaned_Date]], "mmm")</f>
        <v>May</v>
      </c>
    </row>
    <row r="151" spans="1:20" x14ac:dyDescent="0.25">
      <c r="A151">
        <v>150</v>
      </c>
      <c r="B151" s="2">
        <v>46156</v>
      </c>
      <c r="C151" t="s">
        <v>15</v>
      </c>
      <c r="D151" s="1">
        <v>0.1875</v>
      </c>
      <c r="E151" t="s">
        <v>26</v>
      </c>
      <c r="F151" t="s">
        <v>23</v>
      </c>
      <c r="G151" t="s">
        <v>27</v>
      </c>
      <c r="H151">
        <v>1.3517399999999999</v>
      </c>
      <c r="I151">
        <v>1.3532299999999999</v>
      </c>
      <c r="J151">
        <v>1.35032</v>
      </c>
      <c r="K151">
        <v>0.68</v>
      </c>
      <c r="L151">
        <v>1.05</v>
      </c>
      <c r="M151">
        <v>-1</v>
      </c>
      <c r="N151" t="s">
        <v>22</v>
      </c>
      <c r="O151" t="s">
        <v>25</v>
      </c>
      <c r="P151">
        <f>SUM($M$2:M151)</f>
        <v>67.790000000000006</v>
      </c>
      <c r="Q151">
        <f t="shared" si="8"/>
        <v>71.2</v>
      </c>
      <c r="R151">
        <f t="shared" si="9"/>
        <v>-3.4099999999999966</v>
      </c>
      <c r="S151" t="str">
        <f>TEXT(TradingData[[#This Row],[Cleaned_Date]], "dddd")</f>
        <v>Thursday</v>
      </c>
      <c r="T151" t="str">
        <f>TEXT(TradingData[[#This Row],[Cleaned_Date]], "mmm")</f>
        <v>May</v>
      </c>
    </row>
    <row r="152" spans="1:20" x14ac:dyDescent="0.25">
      <c r="A152">
        <v>151</v>
      </c>
      <c r="B152" s="2">
        <v>46161</v>
      </c>
      <c r="C152" t="s">
        <v>15</v>
      </c>
      <c r="D152" s="1">
        <v>0.34652777777777777</v>
      </c>
      <c r="E152" t="s">
        <v>16</v>
      </c>
      <c r="F152" t="s">
        <v>17</v>
      </c>
      <c r="G152" t="s">
        <v>18</v>
      </c>
      <c r="H152">
        <v>1.3411200000000001</v>
      </c>
      <c r="I152">
        <v>1.3302099999999999</v>
      </c>
      <c r="J152">
        <v>1.3448500000000001</v>
      </c>
      <c r="K152">
        <v>0.04</v>
      </c>
      <c r="L152">
        <v>2.86</v>
      </c>
      <c r="M152">
        <v>-1</v>
      </c>
      <c r="N152" t="s">
        <v>22</v>
      </c>
      <c r="O152" t="s">
        <v>20</v>
      </c>
      <c r="P152">
        <f>SUM($M$2:M152)</f>
        <v>66.790000000000006</v>
      </c>
      <c r="Q152">
        <f t="shared" si="8"/>
        <v>71.2</v>
      </c>
      <c r="R152">
        <f t="shared" si="9"/>
        <v>-4.4099999999999966</v>
      </c>
      <c r="S152" t="str">
        <f>TEXT(TradingData[[#This Row],[Cleaned_Date]], "dddd")</f>
        <v>Tuesday</v>
      </c>
      <c r="T152" t="str">
        <f>TEXT(TradingData[[#This Row],[Cleaned_Date]], "mmm")</f>
        <v>May</v>
      </c>
    </row>
    <row r="153" spans="1:20" x14ac:dyDescent="0.25">
      <c r="A153">
        <v>152</v>
      </c>
      <c r="B153" s="2">
        <v>46164</v>
      </c>
      <c r="C153" t="s">
        <v>15</v>
      </c>
      <c r="D153" s="1">
        <v>0.19791666666666666</v>
      </c>
      <c r="E153" t="s">
        <v>26</v>
      </c>
      <c r="F153" t="s">
        <v>23</v>
      </c>
      <c r="G153" t="s">
        <v>18</v>
      </c>
      <c r="H153">
        <v>1.34284</v>
      </c>
      <c r="I153">
        <v>1.34491</v>
      </c>
      <c r="J153">
        <v>1.34131</v>
      </c>
      <c r="K153">
        <v>0.5</v>
      </c>
      <c r="L153">
        <v>1.35</v>
      </c>
      <c r="M153">
        <v>1.35</v>
      </c>
      <c r="N153" t="s">
        <v>19</v>
      </c>
      <c r="O153" t="s">
        <v>20</v>
      </c>
      <c r="P153">
        <f>SUM($M$2:M153)</f>
        <v>68.14</v>
      </c>
      <c r="Q153">
        <f t="shared" si="8"/>
        <v>71.2</v>
      </c>
      <c r="R153">
        <f t="shared" si="9"/>
        <v>-3.0600000000000023</v>
      </c>
      <c r="S153" t="str">
        <f>TEXT(TradingData[[#This Row],[Cleaned_Date]], "dddd")</f>
        <v>Friday</v>
      </c>
      <c r="T153" t="str">
        <f>TEXT(TradingData[[#This Row],[Cleaned_Date]], "mmm")</f>
        <v>May</v>
      </c>
    </row>
    <row r="154" spans="1:20" x14ac:dyDescent="0.25">
      <c r="A154">
        <v>153</v>
      </c>
      <c r="B154" s="2">
        <v>46168</v>
      </c>
      <c r="C154" t="s">
        <v>15</v>
      </c>
      <c r="D154" s="1">
        <v>0.22222222222222221</v>
      </c>
      <c r="E154" t="s">
        <v>26</v>
      </c>
      <c r="F154" t="s">
        <v>23</v>
      </c>
      <c r="G154" t="s">
        <v>27</v>
      </c>
      <c r="H154">
        <v>1.3480300000000001</v>
      </c>
      <c r="I154">
        <v>1.3509</v>
      </c>
      <c r="J154">
        <v>1.34646</v>
      </c>
      <c r="K154">
        <v>0.5</v>
      </c>
      <c r="L154">
        <v>1.82</v>
      </c>
      <c r="M154">
        <v>-1</v>
      </c>
      <c r="N154" t="s">
        <v>22</v>
      </c>
      <c r="O154" t="s">
        <v>20</v>
      </c>
      <c r="P154">
        <f>SUM($M$2:M154)</f>
        <v>67.14</v>
      </c>
      <c r="Q154">
        <f t="shared" si="8"/>
        <v>71.2</v>
      </c>
      <c r="R154">
        <f t="shared" si="9"/>
        <v>-4.0600000000000023</v>
      </c>
      <c r="S154" t="str">
        <f>TEXT(TradingData[[#This Row],[Cleaned_Date]], "dddd")</f>
        <v>Tuesday</v>
      </c>
      <c r="T154" t="str">
        <f>TEXT(TradingData[[#This Row],[Cleaned_Date]], "mmm")</f>
        <v>May</v>
      </c>
    </row>
    <row r="155" spans="1:20" x14ac:dyDescent="0.25">
      <c r="A155">
        <v>154</v>
      </c>
      <c r="B155" s="2">
        <v>46169</v>
      </c>
      <c r="C155" t="s">
        <v>15</v>
      </c>
      <c r="D155" s="1">
        <v>2.2222222222222223E-2</v>
      </c>
      <c r="E155" t="s">
        <v>16</v>
      </c>
      <c r="F155" t="s">
        <v>23</v>
      </c>
      <c r="G155" t="s">
        <v>21</v>
      </c>
      <c r="H155">
        <v>1.34535</v>
      </c>
      <c r="I155">
        <v>1.34344</v>
      </c>
      <c r="J155">
        <v>1.34589</v>
      </c>
      <c r="K155">
        <v>0.5</v>
      </c>
      <c r="L155">
        <v>3.53</v>
      </c>
      <c r="M155">
        <v>3.53</v>
      </c>
      <c r="N155" t="s">
        <v>19</v>
      </c>
      <c r="O155" t="s">
        <v>20</v>
      </c>
      <c r="P155">
        <f>SUM($M$2:M155)</f>
        <v>70.67</v>
      </c>
      <c r="Q155">
        <f t="shared" si="8"/>
        <v>71.2</v>
      </c>
      <c r="R155">
        <f t="shared" si="9"/>
        <v>-0.53000000000000114</v>
      </c>
      <c r="S155" t="str">
        <f>TEXT(TradingData[[#This Row],[Cleaned_Date]], "dddd")</f>
        <v>Wednesday</v>
      </c>
      <c r="T155" t="str">
        <f>TEXT(TradingData[[#This Row],[Cleaned_Date]], "mmm")</f>
        <v>May</v>
      </c>
    </row>
    <row r="156" spans="1:20" x14ac:dyDescent="0.25">
      <c r="A156">
        <v>155</v>
      </c>
      <c r="B156" s="2">
        <v>46174</v>
      </c>
      <c r="C156" t="s">
        <v>15</v>
      </c>
      <c r="D156" s="1">
        <v>0.25208333333333333</v>
      </c>
      <c r="E156" t="s">
        <v>26</v>
      </c>
      <c r="F156" t="s">
        <v>23</v>
      </c>
      <c r="G156" t="s">
        <v>24</v>
      </c>
      <c r="H156">
        <v>1.3459000000000001</v>
      </c>
      <c r="I156">
        <v>1.3475900000000001</v>
      </c>
      <c r="J156">
        <v>1.34554</v>
      </c>
      <c r="K156">
        <v>0.5</v>
      </c>
      <c r="L156">
        <v>4.83</v>
      </c>
      <c r="M156">
        <v>-1</v>
      </c>
      <c r="N156" t="s">
        <v>22</v>
      </c>
      <c r="O156" t="s">
        <v>20</v>
      </c>
      <c r="P156">
        <f>SUM($M$2:M156)</f>
        <v>69.67</v>
      </c>
      <c r="Q156">
        <f t="shared" si="8"/>
        <v>71.2</v>
      </c>
      <c r="R156">
        <f t="shared" si="9"/>
        <v>-1.5300000000000011</v>
      </c>
      <c r="S156" t="str">
        <f>TEXT(TradingData[[#This Row],[Cleaned_Date]], "dddd")</f>
        <v>Monday</v>
      </c>
      <c r="T156" t="str">
        <f>TEXT(TradingData[[#This Row],[Cleaned_Date]], "mmm")</f>
        <v>Jun</v>
      </c>
    </row>
    <row r="157" spans="1:20" x14ac:dyDescent="0.25">
      <c r="A157">
        <v>156</v>
      </c>
      <c r="B157" s="2">
        <v>46176</v>
      </c>
      <c r="C157" t="s">
        <v>15</v>
      </c>
      <c r="D157" s="1">
        <v>0.22777777777777777</v>
      </c>
      <c r="E157" t="s">
        <v>26</v>
      </c>
      <c r="F157" t="s">
        <v>23</v>
      </c>
      <c r="G157" t="s">
        <v>24</v>
      </c>
      <c r="H157">
        <v>1.3449599999999999</v>
      </c>
      <c r="I157">
        <v>1.3481399999999999</v>
      </c>
      <c r="J157">
        <v>1.3436600000000001</v>
      </c>
      <c r="K157">
        <v>0.5</v>
      </c>
      <c r="L157">
        <v>2.5</v>
      </c>
      <c r="M157">
        <v>-1</v>
      </c>
      <c r="N157" t="s">
        <v>22</v>
      </c>
      <c r="O157" t="s">
        <v>20</v>
      </c>
      <c r="P157">
        <f>SUM($M$2:M157)</f>
        <v>68.67</v>
      </c>
      <c r="Q157">
        <f t="shared" si="8"/>
        <v>71.2</v>
      </c>
      <c r="R157">
        <f t="shared" si="9"/>
        <v>-2.5300000000000011</v>
      </c>
      <c r="S157" t="str">
        <f>TEXT(TradingData[[#This Row],[Cleaned_Date]], "dddd")</f>
        <v>Wednesday</v>
      </c>
      <c r="T157" t="str">
        <f>TEXT(TradingData[[#This Row],[Cleaned_Date]], "mmm")</f>
        <v>Jun</v>
      </c>
    </row>
    <row r="158" spans="1:20" x14ac:dyDescent="0.25">
      <c r="A158">
        <v>157</v>
      </c>
      <c r="B158" s="2">
        <v>46182</v>
      </c>
      <c r="C158" t="s">
        <v>15</v>
      </c>
      <c r="D158" s="1">
        <v>9.166666666666666E-2</v>
      </c>
      <c r="E158" t="s">
        <v>16</v>
      </c>
      <c r="F158" t="s">
        <v>23</v>
      </c>
      <c r="G158" t="s">
        <v>28</v>
      </c>
      <c r="H158">
        <v>1.33395</v>
      </c>
      <c r="I158">
        <v>1.3305800000000001</v>
      </c>
      <c r="J158">
        <v>1.3369800000000001</v>
      </c>
      <c r="K158">
        <v>0.5</v>
      </c>
      <c r="L158">
        <v>1.06</v>
      </c>
      <c r="M158">
        <v>-1</v>
      </c>
      <c r="N158" t="s">
        <v>22</v>
      </c>
      <c r="O158" t="s">
        <v>20</v>
      </c>
      <c r="P158">
        <f>SUM($M$2:M158)</f>
        <v>67.67</v>
      </c>
      <c r="Q158">
        <f t="shared" si="8"/>
        <v>71.2</v>
      </c>
      <c r="R158">
        <f t="shared" si="9"/>
        <v>-3.5300000000000011</v>
      </c>
      <c r="S158" t="str">
        <f>TEXT(TradingData[[#This Row],[Cleaned_Date]], "dddd")</f>
        <v>Tuesday</v>
      </c>
      <c r="T158" t="str">
        <f>TEXT(TradingData[[#This Row],[Cleaned_Date]], "mmm")</f>
        <v>Jun</v>
      </c>
    </row>
    <row r="159" spans="1:20" x14ac:dyDescent="0.25">
      <c r="A159">
        <v>158</v>
      </c>
      <c r="B159" s="2">
        <v>46185</v>
      </c>
      <c r="C159" t="s">
        <v>15</v>
      </c>
      <c r="D159" s="1">
        <v>0.40486111111111112</v>
      </c>
      <c r="E159" t="s">
        <v>26</v>
      </c>
      <c r="F159" t="s">
        <v>23</v>
      </c>
      <c r="G159" t="s">
        <v>18</v>
      </c>
      <c r="H159">
        <v>1.34002</v>
      </c>
      <c r="I159">
        <v>1.34328</v>
      </c>
      <c r="J159">
        <v>1.33833</v>
      </c>
      <c r="K159">
        <v>0.75</v>
      </c>
      <c r="L159">
        <v>1.95</v>
      </c>
      <c r="M159">
        <v>0.71</v>
      </c>
      <c r="N159" t="s">
        <v>30</v>
      </c>
      <c r="O159" t="s">
        <v>20</v>
      </c>
      <c r="P159">
        <f>SUM($M$2:M159)</f>
        <v>68.38</v>
      </c>
      <c r="Q159">
        <f t="shared" si="8"/>
        <v>71.2</v>
      </c>
      <c r="R159">
        <f t="shared" si="9"/>
        <v>-2.8200000000000074</v>
      </c>
      <c r="S159" t="str">
        <f>TEXT(TradingData[[#This Row],[Cleaned_Date]], "dddd")</f>
        <v>Friday</v>
      </c>
      <c r="T159" t="str">
        <f>TEXT(TradingData[[#This Row],[Cleaned_Date]], "mmm")</f>
        <v>Jun</v>
      </c>
    </row>
    <row r="160" spans="1:20" x14ac:dyDescent="0.25">
      <c r="A160">
        <v>159</v>
      </c>
      <c r="B160" s="2">
        <v>46188</v>
      </c>
      <c r="C160" t="s">
        <v>15</v>
      </c>
      <c r="D160" s="1">
        <v>0.3888888888888889</v>
      </c>
      <c r="E160" t="s">
        <v>26</v>
      </c>
      <c r="F160" t="s">
        <v>17</v>
      </c>
      <c r="G160" t="s">
        <v>27</v>
      </c>
      <c r="H160">
        <v>1.34368</v>
      </c>
      <c r="I160">
        <v>1.34609</v>
      </c>
      <c r="J160">
        <v>1.3416699999999999</v>
      </c>
      <c r="K160">
        <v>0.75</v>
      </c>
      <c r="L160">
        <v>1.23</v>
      </c>
      <c r="M160">
        <v>-1</v>
      </c>
      <c r="N160" t="s">
        <v>22</v>
      </c>
      <c r="O160" t="s">
        <v>20</v>
      </c>
      <c r="P160">
        <f>SUM($M$2:M160)</f>
        <v>67.38</v>
      </c>
      <c r="Q160">
        <f t="shared" si="8"/>
        <v>71.2</v>
      </c>
      <c r="R160">
        <f t="shared" si="9"/>
        <v>-3.8200000000000074</v>
      </c>
      <c r="S160" t="str">
        <f>TEXT(TradingData[[#This Row],[Cleaned_Date]], "dddd")</f>
        <v>Monday</v>
      </c>
      <c r="T160" t="str">
        <f>TEXT(TradingData[[#This Row],[Cleaned_Date]], "mmm")</f>
        <v>Jun</v>
      </c>
    </row>
    <row r="161" spans="1:20" x14ac:dyDescent="0.25">
      <c r="A161">
        <v>160</v>
      </c>
      <c r="B161" s="2">
        <v>46196</v>
      </c>
      <c r="C161" t="s">
        <v>15</v>
      </c>
      <c r="D161" s="1">
        <v>0.29166666666666669</v>
      </c>
      <c r="E161" t="s">
        <v>26</v>
      </c>
      <c r="F161" t="s">
        <v>23</v>
      </c>
      <c r="G161" t="s">
        <v>27</v>
      </c>
      <c r="H161">
        <v>1.32213</v>
      </c>
      <c r="I161">
        <v>1.3272999999999999</v>
      </c>
      <c r="J161">
        <v>1.32101</v>
      </c>
      <c r="K161">
        <v>0.75</v>
      </c>
      <c r="L161">
        <v>4.6399999999999997</v>
      </c>
      <c r="M161">
        <v>-1</v>
      </c>
      <c r="N161" t="s">
        <v>22</v>
      </c>
      <c r="O161" t="s">
        <v>25</v>
      </c>
      <c r="P161">
        <f>SUM($M$2:M161)</f>
        <v>66.38</v>
      </c>
      <c r="Q161">
        <f t="shared" si="8"/>
        <v>71.2</v>
      </c>
      <c r="R161">
        <f t="shared" si="9"/>
        <v>-4.8200000000000074</v>
      </c>
      <c r="S161" t="str">
        <f>TEXT(TradingData[[#This Row],[Cleaned_Date]], "dddd")</f>
        <v>Tuesday</v>
      </c>
      <c r="T161" t="str">
        <f>TEXT(TradingData[[#This Row],[Cleaned_Date]], "mmm")</f>
        <v>Jun</v>
      </c>
    </row>
    <row r="162" spans="1:20" x14ac:dyDescent="0.25">
      <c r="A162">
        <v>161</v>
      </c>
      <c r="B162" s="2">
        <v>46197</v>
      </c>
      <c r="C162" t="s">
        <v>15</v>
      </c>
      <c r="D162" s="1">
        <v>0.15972222222222221</v>
      </c>
      <c r="E162" t="s">
        <v>26</v>
      </c>
      <c r="F162" t="s">
        <v>23</v>
      </c>
      <c r="G162" t="s">
        <v>24</v>
      </c>
      <c r="H162">
        <v>1.3196099999999999</v>
      </c>
      <c r="I162">
        <v>1.3272999999999999</v>
      </c>
      <c r="J162">
        <v>1.32101</v>
      </c>
      <c r="K162">
        <v>0.75</v>
      </c>
      <c r="L162">
        <v>4.76</v>
      </c>
      <c r="M162">
        <v>-1</v>
      </c>
      <c r="N162" t="s">
        <v>22</v>
      </c>
      <c r="O162" t="s">
        <v>20</v>
      </c>
      <c r="P162">
        <f>SUM($M$2:M162)</f>
        <v>65.38</v>
      </c>
      <c r="Q162">
        <f t="shared" ref="Q162:Q169" si="10">MAX(Q161,P162)</f>
        <v>71.2</v>
      </c>
      <c r="R162">
        <f t="shared" ref="R162:R169" si="11">P162-Q162</f>
        <v>-5.8200000000000074</v>
      </c>
      <c r="S162" t="str">
        <f>TEXT(TradingData[[#This Row],[Cleaned_Date]], "dddd")</f>
        <v>Wednesday</v>
      </c>
      <c r="T162" t="str">
        <f>TEXT(TradingData[[#This Row],[Cleaned_Date]], "mmm")</f>
        <v>Jun</v>
      </c>
    </row>
    <row r="163" spans="1:20" x14ac:dyDescent="0.25">
      <c r="A163">
        <v>162</v>
      </c>
      <c r="B163" s="2">
        <v>46198</v>
      </c>
      <c r="C163" t="s">
        <v>15</v>
      </c>
      <c r="D163" s="1">
        <v>0.98958333333333337</v>
      </c>
      <c r="E163" t="s">
        <v>26</v>
      </c>
      <c r="F163" t="s">
        <v>23</v>
      </c>
      <c r="G163" t="s">
        <v>24</v>
      </c>
      <c r="H163">
        <v>1.31934</v>
      </c>
      <c r="I163">
        <v>1.3219000000000001</v>
      </c>
      <c r="J163">
        <v>1.31802</v>
      </c>
      <c r="K163">
        <v>0.75</v>
      </c>
      <c r="L163">
        <v>1.92</v>
      </c>
      <c r="M163">
        <v>1.92</v>
      </c>
      <c r="N163" t="s">
        <v>19</v>
      </c>
      <c r="O163" t="s">
        <v>20</v>
      </c>
      <c r="P163">
        <f>SUM($M$2:M163)</f>
        <v>67.3</v>
      </c>
      <c r="Q163">
        <f t="shared" si="10"/>
        <v>71.2</v>
      </c>
      <c r="R163">
        <f t="shared" si="11"/>
        <v>-3.9000000000000057</v>
      </c>
      <c r="S163" t="str">
        <f>TEXT(TradingData[[#This Row],[Cleaned_Date]], "dddd")</f>
        <v>Thursday</v>
      </c>
      <c r="T163" t="str">
        <f>TEXT(TradingData[[#This Row],[Cleaned_Date]], "mmm")</f>
        <v>Jun</v>
      </c>
    </row>
    <row r="164" spans="1:20" x14ac:dyDescent="0.25">
      <c r="A164">
        <v>163</v>
      </c>
      <c r="B164" s="2">
        <v>46201</v>
      </c>
      <c r="C164" t="s">
        <v>15</v>
      </c>
      <c r="D164" s="1">
        <v>0.99305555555555558</v>
      </c>
      <c r="E164" t="s">
        <v>16</v>
      </c>
      <c r="F164" t="s">
        <v>23</v>
      </c>
      <c r="G164" t="s">
        <v>27</v>
      </c>
      <c r="H164">
        <v>1.3200799999999999</v>
      </c>
      <c r="I164">
        <v>1.3187800000000001</v>
      </c>
      <c r="J164">
        <v>1.3209599999999999</v>
      </c>
      <c r="K164">
        <v>0.75</v>
      </c>
      <c r="L164">
        <v>1.45</v>
      </c>
      <c r="M164">
        <v>-1</v>
      </c>
      <c r="N164" t="s">
        <v>22</v>
      </c>
      <c r="O164" t="s">
        <v>25</v>
      </c>
      <c r="P164">
        <f>SUM($M$2:M164)</f>
        <v>66.3</v>
      </c>
      <c r="Q164">
        <f t="shared" si="10"/>
        <v>71.2</v>
      </c>
      <c r="R164">
        <f t="shared" si="11"/>
        <v>-4.9000000000000057</v>
      </c>
      <c r="S164" t="str">
        <f>TEXT(TradingData[[#This Row],[Cleaned_Date]], "dddd")</f>
        <v>Sunday</v>
      </c>
      <c r="T164" t="str">
        <f>TEXT(TradingData[[#This Row],[Cleaned_Date]], "mmm")</f>
        <v>Jun</v>
      </c>
    </row>
    <row r="165" spans="1:20" x14ac:dyDescent="0.25">
      <c r="A165">
        <v>164</v>
      </c>
      <c r="B165" s="2">
        <v>46203</v>
      </c>
      <c r="C165" t="s">
        <v>15</v>
      </c>
      <c r="D165" s="1">
        <v>0.21180555555555555</v>
      </c>
      <c r="E165" t="s">
        <v>26</v>
      </c>
      <c r="F165" t="s">
        <v>23</v>
      </c>
      <c r="G165" t="s">
        <v>28</v>
      </c>
      <c r="H165">
        <v>1.3234399999999999</v>
      </c>
      <c r="I165">
        <v>1.3262100000000001</v>
      </c>
      <c r="J165">
        <v>1.32213</v>
      </c>
      <c r="K165">
        <v>0.75</v>
      </c>
      <c r="L165">
        <v>2.15</v>
      </c>
      <c r="M165">
        <v>-1</v>
      </c>
      <c r="N165" t="s">
        <v>22</v>
      </c>
      <c r="O165" t="s">
        <v>20</v>
      </c>
      <c r="P165">
        <f>SUM($M$2:M165)</f>
        <v>65.3</v>
      </c>
      <c r="Q165">
        <f t="shared" si="10"/>
        <v>71.2</v>
      </c>
      <c r="R165">
        <f t="shared" si="11"/>
        <v>-5.9000000000000057</v>
      </c>
      <c r="S165" t="str">
        <f>TEXT(TradingData[[#This Row],[Cleaned_Date]], "dddd")</f>
        <v>Tuesday</v>
      </c>
      <c r="T165" t="str">
        <f>TEXT(TradingData[[#This Row],[Cleaned_Date]], "mmm")</f>
        <v>Jun</v>
      </c>
    </row>
    <row r="166" spans="1:20" x14ac:dyDescent="0.25">
      <c r="A166">
        <v>165</v>
      </c>
      <c r="B166" s="2">
        <v>46204</v>
      </c>
      <c r="C166" t="s">
        <v>15</v>
      </c>
      <c r="D166" s="1">
        <v>0.16666666666666666</v>
      </c>
      <c r="E166" t="s">
        <v>26</v>
      </c>
      <c r="F166" t="s">
        <v>23</v>
      </c>
      <c r="G166" t="s">
        <v>24</v>
      </c>
      <c r="H166">
        <v>1.32446</v>
      </c>
      <c r="I166">
        <v>1.3276699999999999</v>
      </c>
      <c r="J166">
        <v>1.3228500000000001</v>
      </c>
      <c r="K166">
        <v>0.75</v>
      </c>
      <c r="L166">
        <v>1.98</v>
      </c>
      <c r="M166">
        <v>-1</v>
      </c>
      <c r="N166" t="s">
        <v>22</v>
      </c>
      <c r="O166" t="s">
        <v>20</v>
      </c>
      <c r="P166">
        <f>SUM($M$2:M166)</f>
        <v>64.3</v>
      </c>
      <c r="Q166">
        <f t="shared" si="10"/>
        <v>71.2</v>
      </c>
      <c r="R166">
        <f t="shared" si="11"/>
        <v>-6.9000000000000057</v>
      </c>
      <c r="S166" t="str">
        <f>TEXT(TradingData[[#This Row],[Cleaned_Date]], "dddd")</f>
        <v>Wednesday</v>
      </c>
      <c r="T166" t="str">
        <f>TEXT(TradingData[[#This Row],[Cleaned_Date]], "mmm")</f>
        <v>Jul</v>
      </c>
    </row>
    <row r="167" spans="1:20" x14ac:dyDescent="0.25">
      <c r="A167">
        <v>166</v>
      </c>
      <c r="B167" s="2">
        <v>46206</v>
      </c>
      <c r="C167" t="s">
        <v>15</v>
      </c>
      <c r="D167" s="1">
        <v>0.3125</v>
      </c>
      <c r="E167" t="s">
        <v>26</v>
      </c>
      <c r="F167" t="s">
        <v>23</v>
      </c>
      <c r="G167" t="s">
        <v>27</v>
      </c>
      <c r="H167">
        <v>1.33568</v>
      </c>
      <c r="I167">
        <v>1.3381099999999999</v>
      </c>
      <c r="J167">
        <v>1.33456</v>
      </c>
      <c r="K167">
        <v>0.75</v>
      </c>
      <c r="L167">
        <v>2.21</v>
      </c>
      <c r="M167">
        <v>-1</v>
      </c>
      <c r="N167" t="s">
        <v>22</v>
      </c>
      <c r="O167" t="s">
        <v>20</v>
      </c>
      <c r="P167">
        <f>SUM($M$2:M167)</f>
        <v>63.3</v>
      </c>
      <c r="Q167">
        <f t="shared" si="10"/>
        <v>71.2</v>
      </c>
      <c r="R167">
        <f t="shared" si="11"/>
        <v>-7.9000000000000057</v>
      </c>
      <c r="S167" t="str">
        <f>TEXT(TradingData[[#This Row],[Cleaned_Date]], "dddd")</f>
        <v>Friday</v>
      </c>
      <c r="T167" t="str">
        <f>TEXT(TradingData[[#This Row],[Cleaned_Date]], "mmm")</f>
        <v>Jul</v>
      </c>
    </row>
    <row r="168" spans="1:20" x14ac:dyDescent="0.25">
      <c r="A168">
        <v>167</v>
      </c>
      <c r="B168" s="2">
        <v>46210</v>
      </c>
      <c r="C168" t="s">
        <v>15</v>
      </c>
      <c r="D168" s="1">
        <v>0.27083333333333331</v>
      </c>
      <c r="E168" t="s">
        <v>26</v>
      </c>
      <c r="F168" t="s">
        <v>17</v>
      </c>
      <c r="G168" t="s">
        <v>18</v>
      </c>
      <c r="H168">
        <v>1.3384400000000001</v>
      </c>
      <c r="I168">
        <v>1.3401700000000001</v>
      </c>
      <c r="J168">
        <v>1.3369200000000001</v>
      </c>
      <c r="K168">
        <v>0.75</v>
      </c>
      <c r="L168">
        <v>1.1299999999999999</v>
      </c>
      <c r="M168">
        <v>-1</v>
      </c>
      <c r="N168" t="s">
        <v>22</v>
      </c>
      <c r="O168" t="s">
        <v>20</v>
      </c>
      <c r="P168">
        <f>SUM($M$2:M168)</f>
        <v>62.3</v>
      </c>
      <c r="Q168">
        <f t="shared" si="10"/>
        <v>71.2</v>
      </c>
      <c r="R168">
        <f t="shared" si="11"/>
        <v>-8.9000000000000057</v>
      </c>
      <c r="S168" t="str">
        <f>TEXT(TradingData[[#This Row],[Cleaned_Date]], "dddd")</f>
        <v>Tuesday</v>
      </c>
      <c r="T168" t="str">
        <f>TEXT(TradingData[[#This Row],[Cleaned_Date]], "mmm")</f>
        <v>Jul</v>
      </c>
    </row>
    <row r="169" spans="1:20" x14ac:dyDescent="0.25">
      <c r="A169">
        <v>168</v>
      </c>
      <c r="B169" s="2">
        <v>46213</v>
      </c>
      <c r="C169" t="s">
        <v>15</v>
      </c>
      <c r="D169" s="1">
        <v>9.0277777777777776E-2</v>
      </c>
      <c r="E169" t="s">
        <v>26</v>
      </c>
      <c r="F169" t="s">
        <v>23</v>
      </c>
      <c r="G169" t="s">
        <v>27</v>
      </c>
      <c r="H169">
        <v>1.3431999999999999</v>
      </c>
      <c r="I169">
        <v>1.3451599999999999</v>
      </c>
      <c r="J169">
        <v>1.3421400000000001</v>
      </c>
      <c r="K169">
        <v>0.75</v>
      </c>
      <c r="L169">
        <v>1.87</v>
      </c>
      <c r="M169">
        <v>-1</v>
      </c>
      <c r="N169" t="s">
        <v>22</v>
      </c>
      <c r="O169" t="s">
        <v>20</v>
      </c>
      <c r="P169">
        <f>SUM($M$2:M169)</f>
        <v>61.3</v>
      </c>
      <c r="Q169">
        <f t="shared" si="10"/>
        <v>71.2</v>
      </c>
      <c r="R169">
        <f t="shared" si="11"/>
        <v>-9.9000000000000057</v>
      </c>
      <c r="S169" t="str">
        <f>TEXT(TradingData[[#This Row],[Cleaned_Date]], "dddd")</f>
        <v>Friday</v>
      </c>
      <c r="T169" t="str">
        <f>TEXT(TradingData[[#This Row],[Cleaned_Date]], "mmm")</f>
        <v>Jul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D13" sqref="D13"/>
    </sheetView>
  </sheetViews>
  <sheetFormatPr defaultRowHeight="15" x14ac:dyDescent="0.25"/>
  <cols>
    <col min="1" max="1" width="20.85546875" customWidth="1"/>
  </cols>
  <sheetData>
    <row r="1" spans="1:2" x14ac:dyDescent="0.25">
      <c r="A1" s="3" t="s">
        <v>44</v>
      </c>
      <c r="B1" s="3" t="s">
        <v>32</v>
      </c>
    </row>
    <row r="2" spans="1:2" x14ac:dyDescent="0.25">
      <c r="A2" t="s">
        <v>33</v>
      </c>
      <c r="B2">
        <f>COUNTA(TradingData[Trade Number])</f>
        <v>168</v>
      </c>
    </row>
    <row r="3" spans="1:2" x14ac:dyDescent="0.25">
      <c r="A3" t="s">
        <v>34</v>
      </c>
      <c r="B3">
        <f>COUNTIF(TradingData[Outcome],"Win")</f>
        <v>64</v>
      </c>
    </row>
    <row r="4" spans="1:2" x14ac:dyDescent="0.25">
      <c r="A4" t="s">
        <v>35</v>
      </c>
      <c r="B4">
        <f>COUNTIFS(TradingData[Outcome], "Loss") + COUNTIFS(TradingData[Outcome], "Exit")</f>
        <v>104</v>
      </c>
    </row>
    <row r="5" spans="1:2" x14ac:dyDescent="0.25">
      <c r="A5" t="s">
        <v>36</v>
      </c>
      <c r="B5">
        <f>B3/B2</f>
        <v>0.38095238095238093</v>
      </c>
    </row>
    <row r="7" spans="1:2" x14ac:dyDescent="0.25">
      <c r="A7" s="3" t="s">
        <v>37</v>
      </c>
      <c r="B7" s="3" t="s">
        <v>32</v>
      </c>
    </row>
    <row r="8" spans="1:2" x14ac:dyDescent="0.25">
      <c r="A8" t="s">
        <v>38</v>
      </c>
      <c r="B8">
        <f>SUM(TradingData[Result RR])</f>
        <v>61.3</v>
      </c>
    </row>
    <row r="9" spans="1:2" x14ac:dyDescent="0.25">
      <c r="A9" t="s">
        <v>39</v>
      </c>
      <c r="B9">
        <f>AVERAGE(TradingData[Result RR])</f>
        <v>0.36488095238095236</v>
      </c>
    </row>
    <row r="10" spans="1:2" x14ac:dyDescent="0.25">
      <c r="A10" t="s">
        <v>40</v>
      </c>
      <c r="B10">
        <f>AVERAGEIF(TradingData[Outcome], "Win", TradingData[Result RR])</f>
        <v>2.252031249999999</v>
      </c>
    </row>
    <row r="11" spans="1:2" x14ac:dyDescent="0.25">
      <c r="A11" t="s">
        <v>41</v>
      </c>
      <c r="B11">
        <f>(SUMIF(TradingData[Outcome], "Loss", TradingData[Result RR]) + SUMIF(TradingData[Outcome], "Exit", TradingData[Result RR])) / (COUNTIF(TradingData[Outcome], "Loss") + COUNTIF(TradingData[Outcome], "Exit"))</f>
        <v>-0.79644230769230773</v>
      </c>
    </row>
    <row r="12" spans="1:2" x14ac:dyDescent="0.25">
      <c r="A12" t="s">
        <v>42</v>
      </c>
      <c r="B12">
        <f>(B5*B10) + ((1-B5)*B11)</f>
        <v>0.36488095238095192</v>
      </c>
    </row>
    <row r="13" spans="1:2" x14ac:dyDescent="0.25">
      <c r="A13" t="s">
        <v>43</v>
      </c>
      <c r="B13">
        <f>(SUMIF(TradingData[Result RR],"&gt;0",TradingData[Result RR])) / ABS(SUMIF(TradingData[Result RR], "&lt;0",TradingData[Result RR]))</f>
        <v>1.6568091717561335</v>
      </c>
    </row>
    <row r="15" spans="1:2" x14ac:dyDescent="0.25">
      <c r="A15" s="3" t="s">
        <v>45</v>
      </c>
      <c r="B15" s="3" t="s">
        <v>32</v>
      </c>
    </row>
    <row r="16" spans="1:2" x14ac:dyDescent="0.25">
      <c r="A16" t="s">
        <v>46</v>
      </c>
      <c r="B16">
        <f>MAX(TradingData[Result RR])</f>
        <v>9.39</v>
      </c>
    </row>
    <row r="17" spans="1:2" x14ac:dyDescent="0.25">
      <c r="A17" t="s">
        <v>47</v>
      </c>
      <c r="B17">
        <f>MIN(TradingData[Result RR])</f>
        <v>-1</v>
      </c>
    </row>
    <row r="18" spans="1:2" x14ac:dyDescent="0.25">
      <c r="A18" t="s">
        <v>48</v>
      </c>
      <c r="B18">
        <f>MIN(TradingData[Drawdown])</f>
        <v>-12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7D3FD-2D8F-4E6E-8914-7BFE265BF485}">
  <dimension ref="A1:I164"/>
  <sheetViews>
    <sheetView topLeftCell="A43" workbookViewId="0">
      <selection activeCell="D40" sqref="D40:E51"/>
    </sheetView>
  </sheetViews>
  <sheetFormatPr defaultRowHeight="15" x14ac:dyDescent="0.25"/>
  <cols>
    <col min="1" max="1" width="18.85546875" bestFit="1" customWidth="1"/>
    <col min="2" max="3" width="11" customWidth="1"/>
    <col min="4" max="4" width="12" bestFit="1" customWidth="1"/>
    <col min="5" max="5" width="12.140625" bestFit="1" customWidth="1"/>
    <col min="6" max="6" width="11" customWidth="1"/>
    <col min="7" max="8" width="14.7109375" bestFit="1" customWidth="1"/>
    <col min="9" max="9" width="13.140625" bestFit="1" customWidth="1"/>
  </cols>
  <sheetData>
    <row r="1" spans="1:9" x14ac:dyDescent="0.25">
      <c r="A1" s="17" t="s">
        <v>83</v>
      </c>
    </row>
    <row r="2" spans="1:9" x14ac:dyDescent="0.25">
      <c r="A2" s="3" t="s">
        <v>54</v>
      </c>
    </row>
    <row r="3" spans="1:9" x14ac:dyDescent="0.25">
      <c r="A3" t="s">
        <v>3</v>
      </c>
      <c r="B3" t="s">
        <v>52</v>
      </c>
      <c r="C3" t="s">
        <v>53</v>
      </c>
      <c r="D3" t="s">
        <v>36</v>
      </c>
      <c r="E3" t="s">
        <v>39</v>
      </c>
      <c r="F3" t="s">
        <v>38</v>
      </c>
      <c r="G3" t="s">
        <v>40</v>
      </c>
      <c r="H3" t="s">
        <v>41</v>
      </c>
      <c r="I3" t="s">
        <v>42</v>
      </c>
    </row>
    <row r="4" spans="1:9" x14ac:dyDescent="0.25">
      <c r="A4" t="s">
        <v>55</v>
      </c>
      <c r="B4">
        <f>COUNTIF(TradingData[Direction],"Long")</f>
        <v>78</v>
      </c>
      <c r="C4">
        <f>COUNTIFS(TradingData[Direction],"Long",TradingData[Outcome],"Win")</f>
        <v>29</v>
      </c>
      <c r="D4" s="18">
        <f t="shared" ref="D4:D5" si="0">C4/B4</f>
        <v>0.37179487179487181</v>
      </c>
      <c r="E4">
        <f>AVERAGEIFS(TradingData[Result RR],TradingData[Direction],"Long")</f>
        <v>0.35243589743589737</v>
      </c>
      <c r="F4">
        <f>SUMIFS(TradingData[Result RR], TradingData[Direction],"Long")</f>
        <v>27.489999999999995</v>
      </c>
      <c r="G4">
        <f>AVERAGEIFS(TradingData[Result RR],TradingData[Direction],"Long",TradingData[Outcome],"Win")</f>
        <v>2.1341379310344832</v>
      </c>
      <c r="H4" cm="1">
        <f t="array" ref="H4">AVERAGE(IF((TradingData[Outcome]="Loss")+(TradingData[Outcome]="Exit"), IF(TradingData[Direction]="Long", TradingData[Result RR])))</f>
        <v>-0.7020408163265307</v>
      </c>
      <c r="I4">
        <f xml:space="preserve"> (D4*G4)+((1-D4)*H4)</f>
        <v>0.35243589743589759</v>
      </c>
    </row>
    <row r="5" spans="1:9" x14ac:dyDescent="0.25">
      <c r="A5" t="s">
        <v>56</v>
      </c>
      <c r="B5">
        <f>COUNTIF(TradingData[Direction],"Short")</f>
        <v>90</v>
      </c>
      <c r="C5">
        <f>COUNTIFS(TradingData[Direction],"Short",TradingData[Outcome],"Win")</f>
        <v>35</v>
      </c>
      <c r="D5" s="18">
        <f t="shared" si="0"/>
        <v>0.3888888888888889</v>
      </c>
      <c r="E5">
        <f>AVERAGEIFS(TradingData[Result RR],TradingData[Direction],"Short")</f>
        <v>0.3756666666666667</v>
      </c>
      <c r="F5">
        <f>SUMIFS(TradingData[Result RR], TradingData[Direction],"Short")</f>
        <v>33.81</v>
      </c>
      <c r="G5">
        <f>AVERAGEIFS(
TradingData[Result RR],
TradingData[Direction],"Short",
TradingData[Outcome],"Win"
)</f>
        <v>2.3497142857142861</v>
      </c>
      <c r="H5" cm="1">
        <f t="array" ref="H5">AVERAGE(IF((TradingData[Outcome]="Short")+(TradingData[Outcome]="Exit"), IF(TradingData[Direction]="Short", TradingData[Result RR])))</f>
        <v>0.64250000000000007</v>
      </c>
      <c r="I5">
        <f xml:space="preserve"> (D5*G5)+((1-D5)*H5)</f>
        <v>1.3064166666666668</v>
      </c>
    </row>
    <row r="7" spans="1:9" x14ac:dyDescent="0.25">
      <c r="A7" s="3" t="s">
        <v>4</v>
      </c>
    </row>
    <row r="8" spans="1:9" x14ac:dyDescent="0.25">
      <c r="A8" t="s">
        <v>59</v>
      </c>
      <c r="B8" t="s">
        <v>52</v>
      </c>
      <c r="C8" t="s">
        <v>53</v>
      </c>
      <c r="D8" t="s">
        <v>36</v>
      </c>
      <c r="E8" t="s">
        <v>39</v>
      </c>
      <c r="F8" t="s">
        <v>38</v>
      </c>
      <c r="G8" t="s">
        <v>40</v>
      </c>
      <c r="H8" t="s">
        <v>41</v>
      </c>
      <c r="I8" t="s">
        <v>42</v>
      </c>
    </row>
    <row r="9" spans="1:9" x14ac:dyDescent="0.25">
      <c r="A9" t="s">
        <v>17</v>
      </c>
      <c r="B9">
        <f>COUNTIF(TradingData[HTF FVG Timeframe], "1 hour")</f>
        <v>75</v>
      </c>
      <c r="C9">
        <f>COUNTIFS(
TradingData[HTF FVG Timeframe],
"1 hour",
TradingData[Outcome],
"Win"
)</f>
        <v>22</v>
      </c>
      <c r="D9" s="18">
        <f>C9/B9</f>
        <v>0.29333333333333333</v>
      </c>
      <c r="E9">
        <f>AVERAGEIFS(TradingData[Result RR], TradingData[HTF FVG Timeframe], "1 hour")</f>
        <v>0.13319999999999987</v>
      </c>
      <c r="F9">
        <f>SUMIFS(TradingData[Result RR], TradingData[HTF FVG Timeframe], "1 hour")</f>
        <v>9.9899999999999913</v>
      </c>
      <c r="G9" s="4">
        <f>AVERAGEIFS(TradingData[Result RR],TradingData[HTF FVG Timeframe],"1 hour",TradingData[Outcome],"Win")</f>
        <v>2.5172727272727276</v>
      </c>
      <c r="H9" cm="1">
        <f t="array" ref="H9">AVERAGE(IF((TradingData[Outcome]="Loss")+(TradingData[Outcome]="Exit"), IF(TradingData[HTF FVG Timeframe]="1 hour", TradingData[Result RR])))</f>
        <v>-0.85641509433962271</v>
      </c>
      <c r="I9">
        <f xml:space="preserve"> (D9*G9)+((1-D9)*H9)</f>
        <v>0.13319999999999999</v>
      </c>
    </row>
    <row r="10" spans="1:9" x14ac:dyDescent="0.25">
      <c r="A10" t="s">
        <v>23</v>
      </c>
      <c r="B10">
        <f>COUNTIF(TradingData[HTF FVG Timeframe], "15 minute")</f>
        <v>93</v>
      </c>
      <c r="C10">
        <f>COUNTIFS(
TradingData[HTF FVG Timeframe],
"15 minute",
TradingData[Outcome],
"Win"
)</f>
        <v>42</v>
      </c>
      <c r="D10" s="18">
        <f>C10/B10</f>
        <v>0.45161290322580644</v>
      </c>
      <c r="E10">
        <f>AVERAGEIFS(TradingData[Result RR], TradingData[HTF FVG Timeframe], "15 minute")</f>
        <v>0.55172043010752703</v>
      </c>
      <c r="F10">
        <f>SUMIFS(TradingData[Result RR], TradingData[HTF FVG Timeframe], "15 minute")</f>
        <v>51.310000000000016</v>
      </c>
      <c r="G10" s="5">
        <f>AVERAGEIFS(TradingData[Result RR],TradingData[HTF FVG Timeframe],"15 minute",TradingData[Outcome],"Win")</f>
        <v>2.1130952380952381</v>
      </c>
      <c r="H10" cm="1">
        <f t="array" ref="H10">AVERAGE(IF((TradingData[Outcome]="Loss")+(TradingData[Outcome]="Exit"), IF(TradingData[HTF FVG Timeframe]="15 minute", TradingData[Result RR])))</f>
        <v>-0.73411764705882343</v>
      </c>
      <c r="I10">
        <f xml:space="preserve"> (D10*G10)+((1-D10)*H10)</f>
        <v>0.55172043010752703</v>
      </c>
    </row>
    <row r="12" spans="1:9" x14ac:dyDescent="0.25">
      <c r="A12" s="3" t="s">
        <v>57</v>
      </c>
    </row>
    <row r="13" spans="1:9" x14ac:dyDescent="0.25">
      <c r="A13" t="s">
        <v>5</v>
      </c>
      <c r="B13" t="s">
        <v>52</v>
      </c>
      <c r="C13" t="s">
        <v>53</v>
      </c>
      <c r="D13" t="s">
        <v>36</v>
      </c>
      <c r="E13" t="s">
        <v>39</v>
      </c>
      <c r="F13" t="s">
        <v>38</v>
      </c>
      <c r="G13" t="s">
        <v>40</v>
      </c>
      <c r="H13" t="s">
        <v>41</v>
      </c>
      <c r="I13" t="s">
        <v>42</v>
      </c>
    </row>
    <row r="14" spans="1:9" x14ac:dyDescent="0.25">
      <c r="A14" t="s">
        <v>29</v>
      </c>
      <c r="B14">
        <v>4</v>
      </c>
      <c r="C14">
        <v>1</v>
      </c>
      <c r="D14" s="18">
        <v>0.25</v>
      </c>
      <c r="E14">
        <v>-0.1875</v>
      </c>
      <c r="F14">
        <v>-0.75</v>
      </c>
      <c r="G14">
        <v>2.25</v>
      </c>
      <c r="H14">
        <v>-1</v>
      </c>
      <c r="I14">
        <f t="shared" ref="I14:I19" si="1" xml:space="preserve"> (D14*G14)+((1-D14)*H14)</f>
        <v>-0.1875</v>
      </c>
    </row>
    <row r="15" spans="1:9" x14ac:dyDescent="0.25">
      <c r="A15" t="s">
        <v>21</v>
      </c>
      <c r="B15">
        <v>20</v>
      </c>
      <c r="C15">
        <v>7</v>
      </c>
      <c r="D15" s="18">
        <v>0.35</v>
      </c>
      <c r="E15">
        <v>4.4500000000000005E-2</v>
      </c>
      <c r="F15">
        <v>0.89000000000000012</v>
      </c>
      <c r="G15">
        <v>1.9842857142857142</v>
      </c>
      <c r="H15">
        <v>-1</v>
      </c>
      <c r="I15">
        <f t="shared" si="1"/>
        <v>4.4499999999999873E-2</v>
      </c>
    </row>
    <row r="16" spans="1:9" x14ac:dyDescent="0.25">
      <c r="A16" t="s">
        <v>18</v>
      </c>
      <c r="B16">
        <v>41</v>
      </c>
      <c r="C16">
        <v>19</v>
      </c>
      <c r="D16" s="18">
        <v>0.46341463414634149</v>
      </c>
      <c r="E16">
        <v>0.4492682926829269</v>
      </c>
      <c r="F16">
        <v>18.420000000000002</v>
      </c>
      <c r="G16">
        <v>1.8415789473684208</v>
      </c>
      <c r="H16">
        <v>-0.75318181818181817</v>
      </c>
      <c r="I16">
        <f t="shared" si="1"/>
        <v>0.44926829268292667</v>
      </c>
    </row>
    <row r="17" spans="1:9" x14ac:dyDescent="0.25">
      <c r="A17" t="s">
        <v>27</v>
      </c>
      <c r="B17">
        <v>41</v>
      </c>
      <c r="C17">
        <v>18</v>
      </c>
      <c r="D17" s="18">
        <v>0.43902439024390244</v>
      </c>
      <c r="E17">
        <v>0.4892682926829266</v>
      </c>
      <c r="F17">
        <v>20.059999999999992</v>
      </c>
      <c r="G17">
        <v>2.1983333333333333</v>
      </c>
      <c r="H17">
        <v>-0.84826086956521729</v>
      </c>
      <c r="I17">
        <f t="shared" si="1"/>
        <v>0.48926829268292682</v>
      </c>
    </row>
    <row r="18" spans="1:9" x14ac:dyDescent="0.25">
      <c r="A18" t="s">
        <v>24</v>
      </c>
      <c r="B18">
        <v>52</v>
      </c>
      <c r="C18">
        <v>16</v>
      </c>
      <c r="D18" s="18">
        <v>0.30769230769230771</v>
      </c>
      <c r="E18">
        <v>0.28269230769230763</v>
      </c>
      <c r="F18">
        <v>14.699999999999998</v>
      </c>
      <c r="G18">
        <v>2.4031250000000002</v>
      </c>
      <c r="H18">
        <v>-0.65972222222222232</v>
      </c>
      <c r="I18">
        <f t="shared" si="1"/>
        <v>0.2826923076923078</v>
      </c>
    </row>
    <row r="19" spans="1:9" x14ac:dyDescent="0.25">
      <c r="A19" t="s">
        <v>28</v>
      </c>
      <c r="B19">
        <v>9</v>
      </c>
      <c r="C19">
        <v>2</v>
      </c>
      <c r="D19" s="18">
        <v>0.22222222222222221</v>
      </c>
      <c r="E19">
        <v>0.6133333333333334</v>
      </c>
      <c r="F19">
        <v>5.5200000000000005</v>
      </c>
      <c r="G19">
        <v>6.26</v>
      </c>
      <c r="H19">
        <v>-1</v>
      </c>
      <c r="I19">
        <f t="shared" si="1"/>
        <v>0.61333333333333317</v>
      </c>
    </row>
    <row r="21" spans="1:9" x14ac:dyDescent="0.25">
      <c r="A21" s="3" t="s">
        <v>58</v>
      </c>
    </row>
    <row r="22" spans="1:9" x14ac:dyDescent="0.25">
      <c r="A22" s="6" t="s">
        <v>13</v>
      </c>
      <c r="B22" s="7" t="s">
        <v>52</v>
      </c>
      <c r="C22" s="7" t="s">
        <v>53</v>
      </c>
      <c r="D22" s="7" t="s">
        <v>36</v>
      </c>
      <c r="E22" s="7" t="s">
        <v>39</v>
      </c>
      <c r="F22" s="7" t="s">
        <v>38</v>
      </c>
      <c r="G22" s="7" t="s">
        <v>40</v>
      </c>
      <c r="H22" s="7" t="s">
        <v>41</v>
      </c>
      <c r="I22" s="8" t="s">
        <v>42</v>
      </c>
    </row>
    <row r="23" spans="1:9" x14ac:dyDescent="0.25">
      <c r="A23" s="9" t="s">
        <v>25</v>
      </c>
      <c r="B23" s="4">
        <f>COUNTIF(TradingData[News], "Yes")</f>
        <v>35</v>
      </c>
      <c r="C23" s="4">
        <f>COUNTIFS(TradingData[News], "Yes", TradingData[Outcome], "Win")</f>
        <v>16</v>
      </c>
      <c r="D23" s="19">
        <f t="shared" ref="D23" si="2">C23/B23</f>
        <v>0.45714285714285713</v>
      </c>
      <c r="E23" s="4">
        <f>AVERAGEIFS(TradingData[Result RR], TradingData[News], "Yes")</f>
        <v>0.37228571428571422</v>
      </c>
      <c r="F23" s="4">
        <f>SUMIFS(TradingData[Result RR], TradingData[News], "Yes")</f>
        <v>13.029999999999998</v>
      </c>
      <c r="G23" s="4">
        <f>AVERAGEIFS(TradingData[Result RR],TradingData[News],"Yes",TradingData[Outcome],"Win")</f>
        <v>1.8474999999999999</v>
      </c>
      <c r="H23" s="4" cm="1">
        <f t="array" ref="H23">AVERAGE(IF((TradingData[Outcome]="Loss")+(TradingData[Outcome]="Exit"), IF(TradingData[News]="Yes", TradingData[Result RR])))</f>
        <v>-0.87000000000000011</v>
      </c>
      <c r="I23">
        <f xml:space="preserve"> (D23*G23)+((1-D23)*H23)</f>
        <v>0.37228571428571411</v>
      </c>
    </row>
    <row r="24" spans="1:9" x14ac:dyDescent="0.25">
      <c r="A24" s="10" t="s">
        <v>20</v>
      </c>
      <c r="B24" s="11">
        <f>COUNTIF(TradingData[News], "No")</f>
        <v>133</v>
      </c>
      <c r="C24" s="11">
        <f>COUNTIFS(TradingData[News], "No", TradingData[Outcome], "Win")</f>
        <v>48</v>
      </c>
      <c r="D24" s="20">
        <f t="shared" ref="D24" si="3">C24/B24</f>
        <v>0.36090225563909772</v>
      </c>
      <c r="E24" s="11">
        <f>AVERAGEIFS(TradingData[Result RR], TradingData[News], "No")</f>
        <v>0.36293233082706777</v>
      </c>
      <c r="F24" s="11">
        <f>SUMIFS(TradingData[Result RR], TradingData[News], "No")</f>
        <v>48.27000000000001</v>
      </c>
      <c r="G24" s="11">
        <f>AVERAGEIFS(TradingData[Result RR],TradingData[News],"No",TradingData[Outcome],"Win")</f>
        <v>2.3868749999999999</v>
      </c>
      <c r="H24" cm="1">
        <f t="array" ref="H24">AVERAGE(IF((TradingData[Outcome]="Loss")+(TradingData[Outcome]="Exit"), IF(TradingData[News]="No", TradingData[Result RR])))</f>
        <v>-0.77999999999999992</v>
      </c>
      <c r="I24" s="12">
        <f xml:space="preserve"> (D24*G24)+((1-D24)*H24)</f>
        <v>0.36293233082706761</v>
      </c>
    </row>
    <row r="26" spans="1:9" x14ac:dyDescent="0.25">
      <c r="A26" s="3" t="s">
        <v>60</v>
      </c>
    </row>
    <row r="27" spans="1:9" x14ac:dyDescent="0.25">
      <c r="A27" s="6" t="s">
        <v>1</v>
      </c>
      <c r="B27" s="7" t="s">
        <v>52</v>
      </c>
      <c r="C27" s="7" t="s">
        <v>53</v>
      </c>
      <c r="D27" s="7" t="s">
        <v>36</v>
      </c>
      <c r="E27" s="7" t="s">
        <v>39</v>
      </c>
      <c r="F27" s="7" t="s">
        <v>38</v>
      </c>
      <c r="G27" s="7" t="s">
        <v>40</v>
      </c>
      <c r="H27" s="7" t="s">
        <v>41</v>
      </c>
      <c r="I27" s="8" t="s">
        <v>42</v>
      </c>
    </row>
    <row r="28" spans="1:9" x14ac:dyDescent="0.25">
      <c r="A28" s="9" t="s">
        <v>15</v>
      </c>
      <c r="B28" s="4">
        <f>COUNTIF(TradingData[Session], "New York")</f>
        <v>168</v>
      </c>
      <c r="C28" s="4">
        <f>COUNTIFS(TradingData[Session], "New York", TradingData[Outcome], "Win")</f>
        <v>64</v>
      </c>
      <c r="D28" s="19">
        <f t="shared" ref="D28" si="4">C28/B28</f>
        <v>0.38095238095238093</v>
      </c>
      <c r="E28" s="4">
        <f>AVERAGEIFS(TradingData[Result RR], TradingData[Session], "New York")</f>
        <v>0.36488095238095236</v>
      </c>
      <c r="F28" s="4">
        <f>SUMIFS(TradingData[Result RR], TradingData[Session], "New York")</f>
        <v>61.3</v>
      </c>
      <c r="G28" s="4">
        <f>AVERAGEIFS(TradingData[Result RR],TradingData[Session],"New York",TradingData[Outcome],"Win")</f>
        <v>2.252031249999999</v>
      </c>
      <c r="H28" s="4" cm="1">
        <f t="array" ref="H28">AVERAGE(IF((TradingData[Outcome]="Loss")+(TradingData[Outcome]="Exit"), IF(TradingData[Session]="New York", TradingData[Result RR])))</f>
        <v>-0.79644230769230773</v>
      </c>
      <c r="I28">
        <f xml:space="preserve"> (D28*G28)+((1-D28)*H28)</f>
        <v>0.36488095238095192</v>
      </c>
    </row>
    <row r="30" spans="1:9" x14ac:dyDescent="0.25">
      <c r="A30" s="3" t="s">
        <v>61</v>
      </c>
    </row>
    <row r="31" spans="1:9" x14ac:dyDescent="0.25">
      <c r="A31" t="s">
        <v>62</v>
      </c>
      <c r="B31" t="s">
        <v>52</v>
      </c>
      <c r="C31" t="s">
        <v>53</v>
      </c>
      <c r="D31" t="s">
        <v>36</v>
      </c>
      <c r="E31" t="s">
        <v>39</v>
      </c>
      <c r="F31" t="s">
        <v>38</v>
      </c>
      <c r="G31" t="s">
        <v>40</v>
      </c>
      <c r="H31" t="s">
        <v>41</v>
      </c>
      <c r="I31" t="s">
        <v>42</v>
      </c>
    </row>
    <row r="32" spans="1:9" x14ac:dyDescent="0.25">
      <c r="A32" t="s">
        <v>63</v>
      </c>
      <c r="B32">
        <f>COUNTIF(TradingData[Weekday], "Monday")</f>
        <v>35</v>
      </c>
      <c r="C32">
        <f>COUNTIFS(TradingData[Weekday], "Monday", TradingData[Outcome], "Win")</f>
        <v>19</v>
      </c>
      <c r="D32" s="18">
        <f>C32/B32</f>
        <v>0.54285714285714282</v>
      </c>
      <c r="E32">
        <f>AVERAGEIFS(TradingData[Result RR], TradingData[Weekday], "Monday")</f>
        <v>0.8522857142857142</v>
      </c>
      <c r="F32">
        <f>SUMIFS(TradingData[Result RR], TradingData[Weekday], "Monday")</f>
        <v>29.83</v>
      </c>
      <c r="G32">
        <f>AVERAGEIFS(TradingData[Result RR],TradingData[Weekday],"Monday",TradingData[Outcome],"Win")</f>
        <v>2.4121052631578945</v>
      </c>
      <c r="H32">
        <f>AVERAGEIFS(TradingData[Result RR],TradingData[Weekday],"Monday",TradingData[Outcome],"Loss")</f>
        <v>-1</v>
      </c>
      <c r="I32">
        <f xml:space="preserve"> (D32*G32)+((1-D32)*H32)</f>
        <v>0.85228571428571398</v>
      </c>
    </row>
    <row r="33" spans="1:9" x14ac:dyDescent="0.25">
      <c r="A33" t="s">
        <v>64</v>
      </c>
      <c r="B33">
        <f>COUNTIF(TradingData[Weekday], "Tuesday")</f>
        <v>44</v>
      </c>
      <c r="C33">
        <f>COUNTIFS(TradingData[Weekday], "Tuesday", TradingData[Outcome], "Win")</f>
        <v>10</v>
      </c>
      <c r="D33" s="18">
        <f>C33/B33</f>
        <v>0.22727272727272727</v>
      </c>
      <c r="E33">
        <f>AVERAGEIFS(TradingData[Result RR], TradingData[Weekday], "Tuesday")</f>
        <v>-0.33068181818181819</v>
      </c>
      <c r="F33">
        <f>SUMIFS(TradingData[Result RR], TradingData[Weekday], "Tuesday")</f>
        <v>-14.55</v>
      </c>
      <c r="G33">
        <f>AVERAGEIFS(TradingData[Result RR],TradingData[Weekday],"Tuesday",TradingData[Outcome],"Win")</f>
        <v>1.7449999999999999</v>
      </c>
      <c r="H33">
        <f>AVERAGEIFS(TradingData[Result RR],TradingData[Weekday],"Tuesday",TradingData[Outcome],"Loss")</f>
        <v>-0.94117647058823528</v>
      </c>
      <c r="I33" s="12">
        <f xml:space="preserve"> (D33*G33)+((1-D33)*H33)</f>
        <v>-0.33068181818181824</v>
      </c>
    </row>
    <row r="34" spans="1:9" x14ac:dyDescent="0.25">
      <c r="A34" t="s">
        <v>65</v>
      </c>
      <c r="B34">
        <f>COUNTIF(TradingData[Weekday], "Wednesday")</f>
        <v>33</v>
      </c>
      <c r="C34">
        <f>COUNTIFS(TradingData[Weekday], "Wednesday", TradingData[Outcome], "Win")</f>
        <v>13</v>
      </c>
      <c r="D34" s="18">
        <f>C34/B34</f>
        <v>0.39393939393939392</v>
      </c>
      <c r="E34">
        <f>AVERAGEIFS(TradingData[Result RR], TradingData[Weekday], "Wednesday")</f>
        <v>0.78333333333333321</v>
      </c>
      <c r="F34">
        <f>SUMIFS(TradingData[Result RR], TradingData[Weekday], "Wednesday")</f>
        <v>25.849999999999998</v>
      </c>
      <c r="G34">
        <f>AVERAGEIFS(TradingData[Result RR],TradingData[Weekday],"Wednesday",TradingData[Outcome],"Win")</f>
        <v>3.2761538461538464</v>
      </c>
      <c r="H34">
        <f>AVERAGEIFS(TradingData[Result RR],TradingData[Weekday],"Wednesday",TradingData[Outcome],"Loss")</f>
        <v>-1</v>
      </c>
      <c r="I34">
        <f xml:space="preserve"> (D34*G34)+((1-D34)*H34)</f>
        <v>0.68454545454545468</v>
      </c>
    </row>
    <row r="35" spans="1:9" x14ac:dyDescent="0.25">
      <c r="A35" t="s">
        <v>66</v>
      </c>
      <c r="B35">
        <f>COUNTIF(TradingData[Weekday], "Thursday")</f>
        <v>30</v>
      </c>
      <c r="C35">
        <f>COUNTIFS(TradingData[Weekday], "Thursday", TradingData[Outcome], "Win")</f>
        <v>14</v>
      </c>
      <c r="D35" s="18">
        <f>C35/B35</f>
        <v>0.46666666666666667</v>
      </c>
      <c r="E35">
        <f>AVERAGEIFS(TradingData[Result RR], TradingData[Weekday], "Thursday")</f>
        <v>0.5023333333333333</v>
      </c>
      <c r="F35">
        <f>SUMIFS(TradingData[Result RR], TradingData[Weekday], "Thursday")</f>
        <v>15.07</v>
      </c>
      <c r="G35">
        <f>AVERAGEIFS(TradingData[Result RR],TradingData[Weekday],"Thursday",TradingData[Outcome],"Win")</f>
        <v>1.9492857142857143</v>
      </c>
      <c r="H35">
        <f>AVERAGEIFS(TradingData[Result RR],TradingData[Weekday],"Thursday",TradingData[Outcome],"Loss")</f>
        <v>-1</v>
      </c>
      <c r="I35" s="12">
        <f xml:space="preserve"> (D35*G35)+((1-D35)*H35)</f>
        <v>0.37633333333333341</v>
      </c>
    </row>
    <row r="36" spans="1:9" x14ac:dyDescent="0.25">
      <c r="A36" t="s">
        <v>67</v>
      </c>
      <c r="B36">
        <f>COUNTIF(TradingData[Weekday], "Friday")</f>
        <v>24</v>
      </c>
      <c r="C36">
        <f>COUNTIFS(TradingData[Weekday], "Friday", TradingData[Outcome], "Win")</f>
        <v>7</v>
      </c>
      <c r="D36" s="18">
        <f>C36/B36</f>
        <v>0.29166666666666669</v>
      </c>
      <c r="E36">
        <f>AVERAGEIFS(TradingData[Result RR], TradingData[Weekday], "Friday")</f>
        <v>0.20791666666666664</v>
      </c>
      <c r="F36">
        <f>SUMIFS(TradingData[Result RR], TradingData[Weekday], "Friday")</f>
        <v>4.9899999999999993</v>
      </c>
      <c r="G36">
        <f>AVERAGEIFS(TradingData[Result RR],TradingData[Weekday],"Friday",TradingData[Outcome],"Win")</f>
        <v>1.4085714285714286</v>
      </c>
      <c r="H36">
        <f>AVERAGEIFS(TradingData[Result RR],TradingData[Weekday],"Friday",TradingData[Outcome],"Loss")</f>
        <v>-1</v>
      </c>
      <c r="I36">
        <f xml:space="preserve"> (D36*G36)+((1-D36)*H36)</f>
        <v>-0.29749999999999988</v>
      </c>
    </row>
    <row r="38" spans="1:9" x14ac:dyDescent="0.25">
      <c r="A38" s="3" t="s">
        <v>69</v>
      </c>
    </row>
    <row r="39" spans="1:9" x14ac:dyDescent="0.25">
      <c r="A39" t="s">
        <v>70</v>
      </c>
      <c r="B39" t="s">
        <v>52</v>
      </c>
      <c r="C39" t="s">
        <v>53</v>
      </c>
      <c r="D39" t="s">
        <v>36</v>
      </c>
      <c r="E39" t="s">
        <v>39</v>
      </c>
      <c r="F39" t="s">
        <v>38</v>
      </c>
      <c r="G39" t="s">
        <v>40</v>
      </c>
      <c r="H39" t="s">
        <v>41</v>
      </c>
      <c r="I39" t="s">
        <v>42</v>
      </c>
    </row>
    <row r="40" spans="1:9" x14ac:dyDescent="0.25">
      <c r="A40" t="s">
        <v>71</v>
      </c>
      <c r="B40">
        <f>COUNTIF(TradingData[Month], "Jan")</f>
        <v>10</v>
      </c>
      <c r="C40">
        <f>COUNTIFS(TradingData[Month], "Jan", TradingData[Outcome], "Win")</f>
        <v>4</v>
      </c>
      <c r="D40" s="18">
        <f t="shared" ref="D40:D51" si="5">C40/B40</f>
        <v>0.4</v>
      </c>
      <c r="E40">
        <f>AVERAGEIFS(TradingData[Result RR], TradingData[Month], "Jan")</f>
        <v>0.11800000000000002</v>
      </c>
      <c r="F40">
        <f>SUMIFS(TradingData[Result RR], TradingData[Month], "Jan")</f>
        <v>1.1800000000000002</v>
      </c>
      <c r="G40">
        <f>AVERAGEIFS(TradingData[Result RR],TradingData[Month],"Jan",TradingData[Outcome],"Win")</f>
        <v>1.7949999999999999</v>
      </c>
      <c r="H40">
        <f>AVERAGEIFS(TradingData[Result RR],TradingData[Month],"Jan",TradingData[Outcome],"Loss")</f>
        <v>-1</v>
      </c>
      <c r="I40">
        <f t="shared" ref="I40:I51" si="6" xml:space="preserve"> (D40*G40)+((1-D40)*H40)</f>
        <v>0.11799999999999999</v>
      </c>
    </row>
    <row r="41" spans="1:9" x14ac:dyDescent="0.25">
      <c r="A41" t="s">
        <v>72</v>
      </c>
      <c r="B41">
        <f>COUNTIF(TradingData[Month], "Feb")</f>
        <v>19</v>
      </c>
      <c r="C41">
        <f>COUNTIFS(TradingData[Month], "Feb", TradingData[Outcome], "Win")</f>
        <v>11</v>
      </c>
      <c r="D41" s="18">
        <f t="shared" si="5"/>
        <v>0.57894736842105265</v>
      </c>
      <c r="E41">
        <f>AVERAGEIFS(TradingData[Result RR], TradingData[Month], "Feb")</f>
        <v>0.49526315789473674</v>
      </c>
      <c r="F41">
        <f>SUMIFS(TradingData[Result RR], TradingData[Month], "Feb")</f>
        <v>9.4099999999999984</v>
      </c>
      <c r="G41">
        <f>AVERAGEIFS(TradingData[Result RR],TradingData[Month],"Feb",TradingData[Outcome],"Win")</f>
        <v>1.5827272727272728</v>
      </c>
      <c r="H41">
        <f>AVERAGEIFS(TradingData[Result RR],TradingData[Month],"Feb",TradingData[Outcome],"Loss")</f>
        <v>-1</v>
      </c>
      <c r="I41" s="12">
        <f t="shared" si="6"/>
        <v>0.49526315789473696</v>
      </c>
    </row>
    <row r="42" spans="1:9" x14ac:dyDescent="0.25">
      <c r="A42" t="s">
        <v>73</v>
      </c>
      <c r="B42">
        <f>COUNTIF(TradingData[Month], "Mar")</f>
        <v>15</v>
      </c>
      <c r="C42">
        <f>COUNTIFS(TradingData[Month], "Mar", TradingData[Outcome], "Win")</f>
        <v>3</v>
      </c>
      <c r="D42" s="18">
        <f t="shared" si="5"/>
        <v>0.2</v>
      </c>
      <c r="E42">
        <f>AVERAGEIFS(TradingData[Result RR], TradingData[Month], "Mar")</f>
        <v>-0.5</v>
      </c>
      <c r="F42">
        <f>SUMIFS(TradingData[Result RR], TradingData[Month], "Mar")</f>
        <v>-7.5</v>
      </c>
      <c r="G42">
        <f>AVERAGEIFS(TradingData[Result RR],TradingData[Month],"Mar",TradingData[Outcome],"Win")</f>
        <v>1.5</v>
      </c>
      <c r="H42">
        <f>AVERAGEIFS(TradingData[Result RR],TradingData[Month],"Mar",TradingData[Outcome],"Loss")</f>
        <v>-1</v>
      </c>
      <c r="I42">
        <f t="shared" si="6"/>
        <v>-0.5</v>
      </c>
    </row>
    <row r="43" spans="1:9" x14ac:dyDescent="0.25">
      <c r="A43" t="s">
        <v>74</v>
      </c>
      <c r="B43">
        <f>COUNTIF(TradingData[Month], "Apr")</f>
        <v>21</v>
      </c>
      <c r="C43">
        <f>COUNTIFS(TradingData[Month], "Apr", TradingData[Outcome], "Win")</f>
        <v>8</v>
      </c>
      <c r="D43" s="18">
        <f t="shared" si="5"/>
        <v>0.38095238095238093</v>
      </c>
      <c r="E43">
        <f>AVERAGEIFS(TradingData[Result RR], TradingData[Month], "Apr")</f>
        <v>0.2247619047619048</v>
      </c>
      <c r="F43">
        <f>SUMIFS(TradingData[Result RR], TradingData[Month], "Apr")</f>
        <v>4.7200000000000006</v>
      </c>
      <c r="G43">
        <f>AVERAGEIFS(TradingData[Result RR],TradingData[Month],"Apr",TradingData[Outcome],"Win")</f>
        <v>1.7650000000000001</v>
      </c>
      <c r="H43">
        <f>AVERAGEIFS(TradingData[Result RR],TradingData[Month],"Apr",TradingData[Outcome],"Loss")</f>
        <v>-0.83333333333333337</v>
      </c>
      <c r="I43" s="12">
        <f t="shared" si="6"/>
        <v>0.15650793650793648</v>
      </c>
    </row>
    <row r="44" spans="1:9" x14ac:dyDescent="0.25">
      <c r="A44" t="s">
        <v>75</v>
      </c>
      <c r="B44">
        <f>COUNTIF(TradingData[Month], "May")</f>
        <v>26</v>
      </c>
      <c r="C44">
        <f>COUNTIFS(TradingData[Month], "May", TradingData[Outcome], "Win")</f>
        <v>8</v>
      </c>
      <c r="D44" s="18">
        <f t="shared" si="5"/>
        <v>0.30769230769230771</v>
      </c>
      <c r="E44">
        <f>AVERAGEIFS(TradingData[Result RR], TradingData[Month], "May")</f>
        <v>0.26961538461538459</v>
      </c>
      <c r="F44">
        <f>SUMIFS(TradingData[Result RR], TradingData[Month], "May")</f>
        <v>7.01</v>
      </c>
      <c r="G44">
        <f>AVERAGEIFS(TradingData[Result RR],TradingData[Month],"May",TradingData[Outcome],"Win")</f>
        <v>2.34375</v>
      </c>
      <c r="H44">
        <f>AVERAGEIFS(TradingData[Result RR],TradingData[Month],"May",TradingData[Outcome],"Loss")</f>
        <v>-1</v>
      </c>
      <c r="I44">
        <f t="shared" si="6"/>
        <v>2.8846153846153855E-2</v>
      </c>
    </row>
    <row r="45" spans="1:9" x14ac:dyDescent="0.25">
      <c r="A45" t="s">
        <v>76</v>
      </c>
      <c r="B45">
        <f>COUNTIF(TradingData[Month], "Jun")</f>
        <v>19</v>
      </c>
      <c r="C45" s="3">
        <f>COUNTIFS(TradingData[Month], "Jun", TradingData[Outcome], "Win")</f>
        <v>5</v>
      </c>
      <c r="D45" s="18">
        <f t="shared" si="5"/>
        <v>0.26315789473684209</v>
      </c>
      <c r="E45">
        <f>AVERAGEIFS(TradingData[Result RR], TradingData[Month], "Jun")</f>
        <v>0.22000000000000003</v>
      </c>
      <c r="F45">
        <f>SUMIFS(TradingData[Result RR], TradingData[Month], "Jun")</f>
        <v>4.1800000000000006</v>
      </c>
      <c r="G45">
        <f>AVERAGEIFS(TradingData[Result RR],TradingData[Month],"Jun",TradingData[Outcome],"Win")</f>
        <v>2.95</v>
      </c>
      <c r="H45">
        <f>AVERAGEIFS(TradingData[Result RR],TradingData[Month],"Jun",TradingData[Outcome],"Loss")</f>
        <v>-1</v>
      </c>
      <c r="I45" s="12">
        <f t="shared" si="6"/>
        <v>3.9473684210526216E-2</v>
      </c>
    </row>
    <row r="46" spans="1:9" x14ac:dyDescent="0.25">
      <c r="A46" t="s">
        <v>77</v>
      </c>
      <c r="B46">
        <f>COUNTIF(TradingData[Month], "Jul")</f>
        <v>9</v>
      </c>
      <c r="C46">
        <f>COUNTIFS(TradingData[Month], "Jul", TradingData[Outcome], "Win")</f>
        <v>3</v>
      </c>
      <c r="D46" s="18">
        <f t="shared" si="5"/>
        <v>0.33333333333333331</v>
      </c>
      <c r="E46">
        <f>AVERAGEIFS(TradingData[Result RR], TradingData[Month], "Jul")</f>
        <v>-9.4444444444444456E-2</v>
      </c>
      <c r="F46">
        <f>SUMIFS(TradingData[Result RR], TradingData[Month], "Jul")</f>
        <v>-0.85000000000000009</v>
      </c>
      <c r="G46">
        <f>AVERAGEIFS(TradingData[Result RR],TradingData[Month],"Jul",TradingData[Outcome],"Win")</f>
        <v>1.7166666666666668</v>
      </c>
      <c r="H46">
        <f>AVERAGEIFS(TradingData[Result RR],TradingData[Month],"Jul",TradingData[Outcome],"Loss")</f>
        <v>-1</v>
      </c>
      <c r="I46">
        <f t="shared" si="6"/>
        <v>-9.4444444444444553E-2</v>
      </c>
    </row>
    <row r="47" spans="1:9" x14ac:dyDescent="0.25">
      <c r="A47" t="s">
        <v>78</v>
      </c>
      <c r="B47">
        <f>COUNTIF(TradingData[Month], "Aug")</f>
        <v>14</v>
      </c>
      <c r="C47">
        <f>COUNTIFS(TradingData[Month], "Aug", TradingData[Outcome], "Win")</f>
        <v>9</v>
      </c>
      <c r="D47" s="18">
        <f t="shared" si="5"/>
        <v>0.6428571428571429</v>
      </c>
      <c r="E47">
        <f>AVERAGEIFS(TradingData[Result RR], TradingData[Month], "Aug")</f>
        <v>1.1435714285714285</v>
      </c>
      <c r="F47">
        <f>SUMIFS(TradingData[Result RR], TradingData[Month], "Aug")</f>
        <v>16.009999999999998</v>
      </c>
      <c r="G47">
        <f>AVERAGEIFS(TradingData[Result RR],TradingData[Month],"Aug",TradingData[Outcome],"Win")</f>
        <v>2.1888888888888887</v>
      </c>
      <c r="H47">
        <f>AVERAGEIFS(TradingData[Result RR],TradingData[Month],"Aug",TradingData[Outcome],"Loss")</f>
        <v>-1</v>
      </c>
      <c r="I47" s="12">
        <f t="shared" si="6"/>
        <v>1.0499999999999998</v>
      </c>
    </row>
    <row r="48" spans="1:9" x14ac:dyDescent="0.25">
      <c r="A48" t="s">
        <v>79</v>
      </c>
      <c r="B48">
        <f>COUNTIF(TradingData[Month], "Sep")</f>
        <v>5</v>
      </c>
      <c r="C48">
        <f>COUNTIFS(TradingData[Month], "Sep", TradingData[Outcome], "Win")</f>
        <v>4</v>
      </c>
      <c r="D48" s="18">
        <f t="shared" si="5"/>
        <v>0.8</v>
      </c>
      <c r="E48">
        <f>AVERAGEIFS(TradingData[Result RR], TradingData[Month], "Sep")</f>
        <v>3.496</v>
      </c>
      <c r="F48">
        <f>SUMIFS(TradingData[Result RR], TradingData[Month], "Sep")</f>
        <v>17.48</v>
      </c>
      <c r="G48">
        <f>AVERAGEIFS(TradingData[Result RR],TradingData[Month],"Sep",TradingData[Outcome],"Win")</f>
        <v>4.62</v>
      </c>
      <c r="H48">
        <f>AVERAGEIFS(TradingData[Result RR],TradingData[Month],"Sep",TradingData[Outcome],"Loss")</f>
        <v>-1</v>
      </c>
      <c r="I48">
        <f t="shared" si="6"/>
        <v>3.4960000000000004</v>
      </c>
    </row>
    <row r="49" spans="1:9" x14ac:dyDescent="0.25">
      <c r="A49" t="s">
        <v>80</v>
      </c>
      <c r="B49">
        <f>COUNTIF(TradingData[Month], "Oct")</f>
        <v>12</v>
      </c>
      <c r="C49">
        <f>COUNTIFS(TradingData[Month], "Oct", TradingData[Outcome], "Win")</f>
        <v>4</v>
      </c>
      <c r="D49" s="18">
        <f t="shared" si="5"/>
        <v>0.33333333333333331</v>
      </c>
      <c r="E49">
        <f>AVERAGEIFS(TradingData[Result RR], TradingData[Month], "Oct")</f>
        <v>0.20833333333333334</v>
      </c>
      <c r="F49">
        <f>SUMIFS(TradingData[Result RR], TradingData[Month], "Oct")</f>
        <v>2.5</v>
      </c>
      <c r="G49">
        <f>AVERAGEIFS(TradingData[Result RR],TradingData[Month],"Oct",TradingData[Outcome],"Win")</f>
        <v>2.2400000000000002</v>
      </c>
      <c r="H49">
        <f>AVERAGEIFS(TradingData[Result RR],TradingData[Month],"Oct",TradingData[Outcome],"Loss")</f>
        <v>-1</v>
      </c>
      <c r="I49" s="12">
        <f t="shared" si="6"/>
        <v>7.999999999999996E-2</v>
      </c>
    </row>
    <row r="50" spans="1:9" x14ac:dyDescent="0.25">
      <c r="A50" t="s">
        <v>81</v>
      </c>
      <c r="B50">
        <f>COUNTIF(TradingData[Month], "Nov")</f>
        <v>10</v>
      </c>
      <c r="C50">
        <f>COUNTIFS(TradingData[Month], "Nov", TradingData[Outcome], "Win")</f>
        <v>3</v>
      </c>
      <c r="D50" s="18">
        <f t="shared" si="5"/>
        <v>0.3</v>
      </c>
      <c r="E50">
        <f>AVERAGEIFS(TradingData[Result RR], TradingData[Month], "Nov")</f>
        <v>0.45300000000000001</v>
      </c>
      <c r="F50">
        <f>SUMIFS(TradingData[Result RR], TradingData[Month], "Nov")</f>
        <v>4.53</v>
      </c>
      <c r="G50">
        <f>AVERAGEIFS(TradingData[Result RR],TradingData[Month],"Nov", TradingData[Outcome],"Win")</f>
        <v>2.39</v>
      </c>
      <c r="H50">
        <f>AVERAGEIFS(TradingData[Result RR],TradingData[Month],"Nov",TradingData[Outcome],"Loss")</f>
        <v>-1</v>
      </c>
      <c r="I50">
        <f t="shared" si="6"/>
        <v>1.7000000000000015E-2</v>
      </c>
    </row>
    <row r="51" spans="1:9" x14ac:dyDescent="0.25">
      <c r="A51" t="s">
        <v>82</v>
      </c>
      <c r="B51">
        <f>COUNTIF(TradingData[Month], "Dec")</f>
        <v>8</v>
      </c>
      <c r="C51">
        <f>COUNTIFS(TradingData[Month], "Dec", TradingData[Outcome], "Win")</f>
        <v>2</v>
      </c>
      <c r="D51" s="18">
        <f t="shared" si="5"/>
        <v>0.25</v>
      </c>
      <c r="E51">
        <f>AVERAGEIFS(TradingData[Result RR], TradingData[Month], "Dec")</f>
        <v>0.32874999999999999</v>
      </c>
      <c r="F51">
        <f>SUMIFS(TradingData[Result RR], TradingData[Month], "Dec")</f>
        <v>2.63</v>
      </c>
      <c r="G51">
        <f>AVERAGEIFS(TradingData[Result RR],TradingData[Month],"Dec",TradingData[Outcome],"Win")</f>
        <v>3.98</v>
      </c>
      <c r="H51">
        <f>AVERAGEIFS(TradingData[Result RR],TradingData[Month],"Dec",TradingData[Outcome],"Loss")</f>
        <v>-1</v>
      </c>
      <c r="I51" s="12">
        <f t="shared" si="6"/>
        <v>0.245</v>
      </c>
    </row>
    <row r="53" spans="1:9" x14ac:dyDescent="0.25">
      <c r="A53" s="17" t="s">
        <v>84</v>
      </c>
    </row>
    <row r="54" spans="1:9" x14ac:dyDescent="0.25">
      <c r="A54" s="3" t="s">
        <v>54</v>
      </c>
    </row>
    <row r="76" spans="1:1" x14ac:dyDescent="0.25">
      <c r="A76" s="3" t="s">
        <v>4</v>
      </c>
    </row>
    <row r="98" spans="1:1" x14ac:dyDescent="0.25">
      <c r="A98" s="3" t="s">
        <v>57</v>
      </c>
    </row>
    <row r="120" spans="1:1" x14ac:dyDescent="0.25">
      <c r="A120" s="3" t="s">
        <v>58</v>
      </c>
    </row>
    <row r="142" spans="1:1" x14ac:dyDescent="0.25">
      <c r="A142" s="3" t="s">
        <v>61</v>
      </c>
    </row>
    <row r="164" spans="1:1" x14ac:dyDescent="0.25">
      <c r="A164" s="3" t="s">
        <v>69</v>
      </c>
    </row>
  </sheetData>
  <phoneticPr fontId="2" type="noConversion"/>
  <conditionalFormatting sqref="D3:F3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F5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F10 D13:F19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F24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F28 D31:F36 D39:F51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9:D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F19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F28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F36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9:F51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5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5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5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D1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:E1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:F10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D19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:E1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4:F1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D2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2:E2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2:F2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D2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7:E2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D3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1:E3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1:F3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9:E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0:F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AA60-6A98-43EA-908A-4E335143546B}">
  <dimension ref="A1:C120"/>
  <sheetViews>
    <sheetView tabSelected="1" topLeftCell="A103" workbookViewId="0">
      <selection activeCell="A116" sqref="A116"/>
    </sheetView>
  </sheetViews>
  <sheetFormatPr defaultRowHeight="15" x14ac:dyDescent="0.25"/>
  <cols>
    <col min="1" max="1" width="19.42578125" customWidth="1"/>
    <col min="2" max="3" width="11" customWidth="1"/>
  </cols>
  <sheetData>
    <row r="1" spans="1:2" x14ac:dyDescent="0.25">
      <c r="A1" s="3" t="s">
        <v>85</v>
      </c>
    </row>
    <row r="2" spans="1:2" x14ac:dyDescent="0.25">
      <c r="A2" t="s">
        <v>86</v>
      </c>
    </row>
    <row r="3" spans="1:2" x14ac:dyDescent="0.25">
      <c r="A3" t="s">
        <v>87</v>
      </c>
    </row>
    <row r="4" spans="1:2" x14ac:dyDescent="0.25">
      <c r="A4" t="s">
        <v>88</v>
      </c>
    </row>
    <row r="6" spans="1:2" x14ac:dyDescent="0.25">
      <c r="A6" s="3" t="s">
        <v>89</v>
      </c>
    </row>
    <row r="7" spans="1:2" x14ac:dyDescent="0.25">
      <c r="A7" t="s">
        <v>90</v>
      </c>
      <c r="B7" t="s">
        <v>91</v>
      </c>
    </row>
    <row r="8" spans="1:2" x14ac:dyDescent="0.25">
      <c r="A8" t="s">
        <v>33</v>
      </c>
      <c r="B8">
        <v>168</v>
      </c>
    </row>
    <row r="9" spans="1:2" x14ac:dyDescent="0.25">
      <c r="A9" t="s">
        <v>92</v>
      </c>
      <c r="B9" s="18">
        <v>0.38095200000000001</v>
      </c>
    </row>
    <row r="10" spans="1:2" x14ac:dyDescent="0.25">
      <c r="A10" t="s">
        <v>42</v>
      </c>
      <c r="B10">
        <v>0.36488100000000001</v>
      </c>
    </row>
    <row r="11" spans="1:2" x14ac:dyDescent="0.25">
      <c r="A11" t="s">
        <v>43</v>
      </c>
      <c r="B11">
        <v>1.656809</v>
      </c>
    </row>
    <row r="12" spans="1:2" x14ac:dyDescent="0.25">
      <c r="A12" t="s">
        <v>48</v>
      </c>
      <c r="B12">
        <v>-12</v>
      </c>
    </row>
    <row r="14" spans="1:2" x14ac:dyDescent="0.25">
      <c r="A14" t="s">
        <v>93</v>
      </c>
    </row>
    <row r="15" spans="1:2" x14ac:dyDescent="0.25">
      <c r="A15" t="s">
        <v>94</v>
      </c>
    </row>
    <row r="17" spans="1:3" x14ac:dyDescent="0.25">
      <c r="A17" s="3" t="s">
        <v>95</v>
      </c>
    </row>
    <row r="18" spans="1:3" x14ac:dyDescent="0.25">
      <c r="A18" t="s">
        <v>3</v>
      </c>
      <c r="B18" t="s">
        <v>36</v>
      </c>
      <c r="C18" t="s">
        <v>96</v>
      </c>
    </row>
    <row r="19" spans="1:3" x14ac:dyDescent="0.25">
      <c r="A19" t="s">
        <v>26</v>
      </c>
      <c r="B19" s="18">
        <v>0.37179487179487181</v>
      </c>
      <c r="C19">
        <v>0.35243589743589737</v>
      </c>
    </row>
    <row r="20" spans="1:3" x14ac:dyDescent="0.25">
      <c r="A20" t="s">
        <v>16</v>
      </c>
      <c r="B20" s="18">
        <v>0.3888888888888889</v>
      </c>
      <c r="C20">
        <v>0.3756666666666667</v>
      </c>
    </row>
    <row r="22" spans="1:3" x14ac:dyDescent="0.25">
      <c r="A22" t="s">
        <v>97</v>
      </c>
    </row>
    <row r="23" spans="1:3" x14ac:dyDescent="0.25">
      <c r="A23" t="s">
        <v>98</v>
      </c>
    </row>
    <row r="25" spans="1:3" x14ac:dyDescent="0.25">
      <c r="A25" t="s">
        <v>4</v>
      </c>
      <c r="B25" t="s">
        <v>36</v>
      </c>
      <c r="C25" t="s">
        <v>96</v>
      </c>
    </row>
    <row r="26" spans="1:3" x14ac:dyDescent="0.25">
      <c r="A26" t="s">
        <v>17</v>
      </c>
      <c r="B26" s="18">
        <v>0.29333333333333333</v>
      </c>
      <c r="C26">
        <v>0.13319999999999987</v>
      </c>
    </row>
    <row r="27" spans="1:3" x14ac:dyDescent="0.25">
      <c r="A27" t="s">
        <v>23</v>
      </c>
      <c r="B27" s="18">
        <v>0.45161290322580644</v>
      </c>
      <c r="C27">
        <v>0.55172043010752703</v>
      </c>
    </row>
    <row r="29" spans="1:3" x14ac:dyDescent="0.25">
      <c r="A29" t="s">
        <v>103</v>
      </c>
    </row>
    <row r="30" spans="1:3" x14ac:dyDescent="0.25">
      <c r="A30" t="s">
        <v>104</v>
      </c>
    </row>
    <row r="32" spans="1:3" x14ac:dyDescent="0.25">
      <c r="A32" s="6" t="s">
        <v>99</v>
      </c>
      <c r="B32" s="7" t="s">
        <v>36</v>
      </c>
      <c r="C32" s="8" t="s">
        <v>96</v>
      </c>
    </row>
    <row r="33" spans="1:3" x14ac:dyDescent="0.25">
      <c r="A33" s="15" t="s">
        <v>29</v>
      </c>
      <c r="B33" s="21">
        <v>0.25</v>
      </c>
      <c r="C33" s="16">
        <v>-0.1875</v>
      </c>
    </row>
    <row r="34" spans="1:3" x14ac:dyDescent="0.25">
      <c r="A34" s="13" t="s">
        <v>21</v>
      </c>
      <c r="B34" s="22">
        <v>0.35</v>
      </c>
      <c r="C34" s="14">
        <v>4.4500000000000005E-2</v>
      </c>
    </row>
    <row r="35" spans="1:3" x14ac:dyDescent="0.25">
      <c r="A35" s="15" t="s">
        <v>18</v>
      </c>
      <c r="B35" s="21">
        <v>0.46341463414634149</v>
      </c>
      <c r="C35" s="16">
        <v>0.4492682926829269</v>
      </c>
    </row>
    <row r="36" spans="1:3" x14ac:dyDescent="0.25">
      <c r="A36" s="13" t="s">
        <v>27</v>
      </c>
      <c r="B36" s="22">
        <v>0.43902439024390244</v>
      </c>
      <c r="C36" s="14">
        <v>0.4892682926829266</v>
      </c>
    </row>
    <row r="37" spans="1:3" x14ac:dyDescent="0.25">
      <c r="A37" s="15" t="s">
        <v>24</v>
      </c>
      <c r="B37" s="21">
        <v>0.30769230769230771</v>
      </c>
      <c r="C37" s="16">
        <v>0.28269230769230763</v>
      </c>
    </row>
    <row r="38" spans="1:3" x14ac:dyDescent="0.25">
      <c r="A38" s="13" t="s">
        <v>28</v>
      </c>
      <c r="B38" s="22">
        <v>0.22222222222222221</v>
      </c>
      <c r="C38" s="14">
        <v>0.6133333333333334</v>
      </c>
    </row>
    <row r="40" spans="1:3" x14ac:dyDescent="0.25">
      <c r="A40" t="s">
        <v>101</v>
      </c>
    </row>
    <row r="41" spans="1:3" x14ac:dyDescent="0.25">
      <c r="A41" t="s">
        <v>102</v>
      </c>
    </row>
    <row r="42" spans="1:3" x14ac:dyDescent="0.25">
      <c r="A42" t="s">
        <v>100</v>
      </c>
    </row>
    <row r="44" spans="1:3" x14ac:dyDescent="0.25">
      <c r="A44" t="s">
        <v>13</v>
      </c>
      <c r="B44" t="s">
        <v>36</v>
      </c>
      <c r="C44" t="s">
        <v>96</v>
      </c>
    </row>
    <row r="45" spans="1:3" x14ac:dyDescent="0.25">
      <c r="A45" t="s">
        <v>25</v>
      </c>
      <c r="B45" s="18">
        <v>0.45714285714285713</v>
      </c>
      <c r="C45">
        <v>0.37228571428571422</v>
      </c>
    </row>
    <row r="46" spans="1:3" x14ac:dyDescent="0.25">
      <c r="A46" t="s">
        <v>20</v>
      </c>
      <c r="B46" s="18">
        <v>0.36090225563909772</v>
      </c>
      <c r="C46">
        <v>0.36293233082706777</v>
      </c>
    </row>
    <row r="48" spans="1:3" x14ac:dyDescent="0.25">
      <c r="A48" t="s">
        <v>105</v>
      </c>
    </row>
    <row r="49" spans="1:3" x14ac:dyDescent="0.25">
      <c r="A49" t="s">
        <v>106</v>
      </c>
    </row>
    <row r="51" spans="1:3" x14ac:dyDescent="0.25">
      <c r="A51" t="s">
        <v>68</v>
      </c>
      <c r="B51" t="s">
        <v>36</v>
      </c>
      <c r="C51" t="s">
        <v>96</v>
      </c>
    </row>
    <row r="52" spans="1:3" x14ac:dyDescent="0.25">
      <c r="A52" t="s">
        <v>63</v>
      </c>
      <c r="B52" s="18">
        <v>0.54285714285714282</v>
      </c>
      <c r="C52">
        <v>0.8522857142857142</v>
      </c>
    </row>
    <row r="53" spans="1:3" x14ac:dyDescent="0.25">
      <c r="A53" t="s">
        <v>64</v>
      </c>
      <c r="B53" s="18">
        <v>0.22727272727272727</v>
      </c>
      <c r="C53">
        <v>-0.33068181818181819</v>
      </c>
    </row>
    <row r="54" spans="1:3" x14ac:dyDescent="0.25">
      <c r="A54" t="s">
        <v>65</v>
      </c>
      <c r="B54" s="18">
        <v>0.39393939393939392</v>
      </c>
      <c r="C54">
        <v>0.78333333333333321</v>
      </c>
    </row>
    <row r="55" spans="1:3" x14ac:dyDescent="0.25">
      <c r="A55" t="s">
        <v>66</v>
      </c>
      <c r="B55" s="18">
        <v>0.46666666666666667</v>
      </c>
      <c r="C55">
        <v>0.5023333333333333</v>
      </c>
    </row>
    <row r="56" spans="1:3" x14ac:dyDescent="0.25">
      <c r="A56" t="s">
        <v>67</v>
      </c>
      <c r="B56" s="18">
        <v>0.29166666666666669</v>
      </c>
      <c r="C56">
        <v>0.20791666666666664</v>
      </c>
    </row>
    <row r="58" spans="1:3" x14ac:dyDescent="0.25">
      <c r="A58" t="s">
        <v>107</v>
      </c>
    </row>
    <row r="59" spans="1:3" x14ac:dyDescent="0.25">
      <c r="A59" t="s">
        <v>108</v>
      </c>
    </row>
    <row r="61" spans="1:3" x14ac:dyDescent="0.25">
      <c r="A61" t="s">
        <v>70</v>
      </c>
      <c r="B61" t="s">
        <v>36</v>
      </c>
      <c r="C61" t="s">
        <v>96</v>
      </c>
    </row>
    <row r="62" spans="1:3" x14ac:dyDescent="0.25">
      <c r="A62" t="s">
        <v>71</v>
      </c>
      <c r="B62" s="18">
        <v>0.4</v>
      </c>
      <c r="C62">
        <v>0.11800000000000002</v>
      </c>
    </row>
    <row r="63" spans="1:3" x14ac:dyDescent="0.25">
      <c r="A63" t="s">
        <v>72</v>
      </c>
      <c r="B63" s="18">
        <v>0.57894736842105265</v>
      </c>
      <c r="C63">
        <v>0.49526315789473674</v>
      </c>
    </row>
    <row r="64" spans="1:3" x14ac:dyDescent="0.25">
      <c r="A64" t="s">
        <v>73</v>
      </c>
      <c r="B64" s="18">
        <v>0.2</v>
      </c>
      <c r="C64">
        <v>-0.5</v>
      </c>
    </row>
    <row r="65" spans="1:3" x14ac:dyDescent="0.25">
      <c r="A65" t="s">
        <v>74</v>
      </c>
      <c r="B65" s="18">
        <v>0.38095238095238093</v>
      </c>
      <c r="C65">
        <v>0.2247619047619048</v>
      </c>
    </row>
    <row r="66" spans="1:3" x14ac:dyDescent="0.25">
      <c r="A66" t="s">
        <v>75</v>
      </c>
      <c r="B66" s="18">
        <v>0.30769230769230771</v>
      </c>
      <c r="C66">
        <v>0.26961538461538459</v>
      </c>
    </row>
    <row r="67" spans="1:3" x14ac:dyDescent="0.25">
      <c r="A67" t="s">
        <v>76</v>
      </c>
      <c r="B67" s="18">
        <v>0.26315789473684209</v>
      </c>
      <c r="C67">
        <v>0.22000000000000003</v>
      </c>
    </row>
    <row r="68" spans="1:3" x14ac:dyDescent="0.25">
      <c r="A68" t="s">
        <v>77</v>
      </c>
      <c r="B68" s="18">
        <v>0.33333333333333331</v>
      </c>
      <c r="C68">
        <v>-9.4444444444444456E-2</v>
      </c>
    </row>
    <row r="69" spans="1:3" x14ac:dyDescent="0.25">
      <c r="A69" t="s">
        <v>78</v>
      </c>
      <c r="B69" s="18">
        <v>0.6428571428571429</v>
      </c>
      <c r="C69">
        <v>1.1435714285714285</v>
      </c>
    </row>
    <row r="70" spans="1:3" x14ac:dyDescent="0.25">
      <c r="A70" t="s">
        <v>79</v>
      </c>
      <c r="B70" s="18">
        <v>0.8</v>
      </c>
      <c r="C70">
        <v>3.496</v>
      </c>
    </row>
    <row r="71" spans="1:3" x14ac:dyDescent="0.25">
      <c r="A71" t="s">
        <v>80</v>
      </c>
      <c r="B71" s="18">
        <v>0.33333333333333331</v>
      </c>
      <c r="C71">
        <v>0.20833333333333334</v>
      </c>
    </row>
    <row r="72" spans="1:3" x14ac:dyDescent="0.25">
      <c r="A72" t="s">
        <v>81</v>
      </c>
      <c r="B72" s="18">
        <v>0.3</v>
      </c>
      <c r="C72">
        <v>0.45300000000000001</v>
      </c>
    </row>
    <row r="73" spans="1:3" x14ac:dyDescent="0.25">
      <c r="A73" t="s">
        <v>82</v>
      </c>
      <c r="B73" s="18">
        <v>0.25</v>
      </c>
      <c r="C73">
        <v>0.32874999999999999</v>
      </c>
    </row>
    <row r="75" spans="1:3" x14ac:dyDescent="0.25">
      <c r="A75" t="s">
        <v>109</v>
      </c>
    </row>
    <row r="76" spans="1:3" x14ac:dyDescent="0.25">
      <c r="A76" t="s">
        <v>110</v>
      </c>
    </row>
    <row r="77" spans="1:3" x14ac:dyDescent="0.25">
      <c r="A77" t="s">
        <v>111</v>
      </c>
    </row>
    <row r="79" spans="1:3" x14ac:dyDescent="0.25">
      <c r="A79" s="17" t="s">
        <v>112</v>
      </c>
    </row>
    <row r="80" spans="1:3" x14ac:dyDescent="0.25">
      <c r="A80" t="s">
        <v>113</v>
      </c>
    </row>
    <row r="81" spans="1:1" x14ac:dyDescent="0.25">
      <c r="A81" t="s">
        <v>114</v>
      </c>
    </row>
    <row r="82" spans="1:1" x14ac:dyDescent="0.25">
      <c r="A82" t="s">
        <v>115</v>
      </c>
    </row>
    <row r="83" spans="1:1" x14ac:dyDescent="0.25">
      <c r="A83" t="s">
        <v>116</v>
      </c>
    </row>
    <row r="85" spans="1:1" x14ac:dyDescent="0.25">
      <c r="A85" t="s">
        <v>117</v>
      </c>
    </row>
    <row r="86" spans="1:1" x14ac:dyDescent="0.25">
      <c r="A86" t="s">
        <v>118</v>
      </c>
    </row>
    <row r="87" spans="1:1" x14ac:dyDescent="0.25">
      <c r="A87" t="s">
        <v>119</v>
      </c>
    </row>
    <row r="88" spans="1:1" x14ac:dyDescent="0.25">
      <c r="A88" t="s">
        <v>120</v>
      </c>
    </row>
    <row r="90" spans="1:1" x14ac:dyDescent="0.25">
      <c r="A90" t="s">
        <v>121</v>
      </c>
    </row>
    <row r="91" spans="1:1" x14ac:dyDescent="0.25">
      <c r="A91" t="s">
        <v>122</v>
      </c>
    </row>
    <row r="92" spans="1:1" x14ac:dyDescent="0.25">
      <c r="A92" t="s">
        <v>123</v>
      </c>
    </row>
    <row r="94" spans="1:1" x14ac:dyDescent="0.25">
      <c r="A94" t="s">
        <v>124</v>
      </c>
    </row>
    <row r="95" spans="1:1" x14ac:dyDescent="0.25">
      <c r="A95" t="s">
        <v>125</v>
      </c>
    </row>
    <row r="96" spans="1:1" x14ac:dyDescent="0.25">
      <c r="A96" t="s">
        <v>126</v>
      </c>
    </row>
    <row r="98" spans="1:1" x14ac:dyDescent="0.25">
      <c r="A98" t="s">
        <v>127</v>
      </c>
    </row>
    <row r="99" spans="1:1" x14ac:dyDescent="0.25">
      <c r="A99" t="s">
        <v>128</v>
      </c>
    </row>
    <row r="100" spans="1:1" x14ac:dyDescent="0.25">
      <c r="A100" t="s">
        <v>129</v>
      </c>
    </row>
    <row r="102" spans="1:1" x14ac:dyDescent="0.25">
      <c r="A102" t="s">
        <v>130</v>
      </c>
    </row>
    <row r="103" spans="1:1" x14ac:dyDescent="0.25">
      <c r="A103" t="s">
        <v>131</v>
      </c>
    </row>
    <row r="104" spans="1:1" x14ac:dyDescent="0.25">
      <c r="A104" t="s">
        <v>132</v>
      </c>
    </row>
    <row r="106" spans="1:1" x14ac:dyDescent="0.25">
      <c r="A106" s="17" t="s">
        <v>133</v>
      </c>
    </row>
    <row r="107" spans="1:1" x14ac:dyDescent="0.25">
      <c r="A107" t="s">
        <v>134</v>
      </c>
    </row>
    <row r="108" spans="1:1" x14ac:dyDescent="0.25">
      <c r="A108" t="s">
        <v>135</v>
      </c>
    </row>
    <row r="109" spans="1:1" x14ac:dyDescent="0.25">
      <c r="A109" t="s">
        <v>136</v>
      </c>
    </row>
    <row r="110" spans="1:1" x14ac:dyDescent="0.25">
      <c r="A110" t="s">
        <v>137</v>
      </c>
    </row>
    <row r="111" spans="1:1" x14ac:dyDescent="0.25">
      <c r="A111" t="s">
        <v>138</v>
      </c>
    </row>
    <row r="112" spans="1:1" x14ac:dyDescent="0.25">
      <c r="A112" t="s">
        <v>139</v>
      </c>
    </row>
    <row r="114" spans="1:1" x14ac:dyDescent="0.25">
      <c r="A114" s="17" t="s">
        <v>140</v>
      </c>
    </row>
    <row r="115" spans="1:1" x14ac:dyDescent="0.25">
      <c r="A115" t="s">
        <v>141</v>
      </c>
    </row>
    <row r="116" spans="1:1" x14ac:dyDescent="0.25">
      <c r="A116" t="s">
        <v>146</v>
      </c>
    </row>
    <row r="117" spans="1:1" x14ac:dyDescent="0.25">
      <c r="A117" t="s">
        <v>143</v>
      </c>
    </row>
    <row r="118" spans="1:1" x14ac:dyDescent="0.25">
      <c r="A118" t="s">
        <v>142</v>
      </c>
    </row>
    <row r="119" spans="1:1" x14ac:dyDescent="0.25">
      <c r="A119" t="s">
        <v>144</v>
      </c>
    </row>
    <row r="120" spans="1:1" x14ac:dyDescent="0.25">
      <c r="A120" t="s">
        <v>145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132051-45A2-4E2C-BFB7-CE9C446D8E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Performance Analysis</vt:lpstr>
      <vt:lpstr>Exploratory Data Analysis</vt:lpstr>
      <vt:lpstr>Insights &amp; 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 Ng</dc:creator>
  <cp:lastModifiedBy>Silas Ng</cp:lastModifiedBy>
  <dcterms:created xsi:type="dcterms:W3CDTF">2015-06-05T18:17:20Z</dcterms:created>
  <dcterms:modified xsi:type="dcterms:W3CDTF">2026-07-16T06:52:36Z</dcterms:modified>
</cp:coreProperties>
</file>